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ETRA-main\img\"/>
    </mc:Choice>
  </mc:AlternateContent>
  <bookViews>
    <workbookView xWindow="-120" yWindow="-120" windowWidth="20730" windowHeight="11760"/>
  </bookViews>
  <sheets>
    <sheet name="Hoja1" sheetId="1" r:id="rId1"/>
  </sheets>
  <definedNames>
    <definedName name="_xlnm._FilterDatabase" localSheetId="0" hidden="1">Hoja1!$A$1:$J$1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90" i="1"/>
  <c r="J91" i="1" s="1"/>
  <c r="J92" i="1" s="1"/>
  <c r="J93" i="1" s="1"/>
  <c r="J94" i="1" s="1"/>
  <c r="J95" i="1" s="1"/>
  <c r="J96" i="1" s="1"/>
  <c r="J97" i="1" s="1"/>
  <c r="J74" i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73" i="1"/>
  <c r="J56" i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41" i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40" i="1"/>
  <c r="J14" i="1"/>
  <c r="J13" i="1"/>
  <c r="J4" i="1"/>
  <c r="J5" i="1" s="1"/>
  <c r="J6" i="1" s="1"/>
  <c r="J7" i="1" s="1"/>
  <c r="J8" i="1" s="1"/>
  <c r="J9" i="1" s="1"/>
  <c r="J10" i="1" s="1"/>
  <c r="J11" i="1" s="1"/>
  <c r="J3" i="1"/>
  <c r="J2" i="1"/>
  <c r="I97" i="1"/>
  <c r="I96" i="1"/>
  <c r="I95" i="1"/>
  <c r="I94" i="1"/>
  <c r="I93" i="1"/>
  <c r="I92" i="1"/>
  <c r="I91" i="1"/>
  <c r="I90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0" i="1"/>
  <c r="I19" i="1"/>
  <c r="I18" i="1"/>
  <c r="I17" i="1"/>
  <c r="I16" i="1"/>
  <c r="I15" i="1"/>
  <c r="I14" i="1"/>
  <c r="I13" i="1"/>
  <c r="I3" i="1"/>
  <c r="I4" i="1"/>
  <c r="I5" i="1"/>
  <c r="I6" i="1"/>
  <c r="I7" i="1"/>
  <c r="I8" i="1"/>
  <c r="I9" i="1"/>
  <c r="I10" i="1"/>
  <c r="I11" i="1"/>
  <c r="I2" i="1"/>
  <c r="J15" i="1" l="1"/>
  <c r="J16" i="1" s="1"/>
  <c r="J17" i="1" s="1"/>
  <c r="J18" i="1" s="1"/>
  <c r="J19" i="1" s="1"/>
  <c r="J20" i="1" s="1"/>
</calcChain>
</file>

<file path=xl/sharedStrings.xml><?xml version="1.0" encoding="utf-8"?>
<sst xmlns="http://schemas.openxmlformats.org/spreadsheetml/2006/main" count="440" uniqueCount="286">
  <si>
    <t>Cuautepec</t>
  </si>
  <si>
    <t>Ticoman</t>
  </si>
  <si>
    <t>Lindavista</t>
  </si>
  <si>
    <t>Quiroga</t>
  </si>
  <si>
    <t>Pradera</t>
  </si>
  <si>
    <t>Tepeyac</t>
  </si>
  <si>
    <t>Cuchilla</t>
  </si>
  <si>
    <t>Aragon</t>
  </si>
  <si>
    <t>GAM</t>
  </si>
  <si>
    <t>CONSULADO</t>
  </si>
  <si>
    <t>MOCTEZUMA</t>
  </si>
  <si>
    <t>ZARAGOZA</t>
  </si>
  <si>
    <t>ARENAL</t>
  </si>
  <si>
    <t>MERCED-BALBUENA</t>
  </si>
  <si>
    <t>CONGRESO</t>
  </si>
  <si>
    <t>VC</t>
  </si>
  <si>
    <t>IZTACCIHUALTL</t>
  </si>
  <si>
    <t>TLACOTAL</t>
  </si>
  <si>
    <t>PANTITLAN</t>
  </si>
  <si>
    <t>IZC</t>
  </si>
  <si>
    <t>CUAUTEPEC</t>
  </si>
  <si>
    <t>TICOMAN</t>
  </si>
  <si>
    <t>LINDAVISTA</t>
  </si>
  <si>
    <t>QUIROGA</t>
  </si>
  <si>
    <t>PRADERA</t>
  </si>
  <si>
    <t>TEPEYAC</t>
  </si>
  <si>
    <t>CUCHILLA</t>
  </si>
  <si>
    <t>ARAGON</t>
  </si>
  <si>
    <t>01</t>
  </si>
  <si>
    <t>02</t>
  </si>
  <si>
    <t>03</t>
  </si>
  <si>
    <t>04</t>
  </si>
  <si>
    <t>05</t>
  </si>
  <si>
    <t>06</t>
  </si>
  <si>
    <t>07</t>
  </si>
  <si>
    <t>08</t>
  </si>
  <si>
    <t>ZONA NORTE</t>
  </si>
  <si>
    <t>UNIVERSIDAD</t>
  </si>
  <si>
    <t>COYOACAN</t>
  </si>
  <si>
    <t>TAXQUEÑA</t>
  </si>
  <si>
    <t>XOTEPINGO</t>
  </si>
  <si>
    <t>CULHUACAN</t>
  </si>
  <si>
    <t>COY</t>
  </si>
  <si>
    <t>ZONA SUR</t>
  </si>
  <si>
    <t>SAN JERONIMO</t>
  </si>
  <si>
    <t>MC</t>
  </si>
  <si>
    <t>DINAMO</t>
  </si>
  <si>
    <t>FUENTE</t>
  </si>
  <si>
    <t>PADIERNA</t>
  </si>
  <si>
    <t>COAPA</t>
  </si>
  <si>
    <t>HUIPULCO-HOSPITALES</t>
  </si>
  <si>
    <t>TLP</t>
  </si>
  <si>
    <t>NAPOLES</t>
  </si>
  <si>
    <t>DEL VALLE</t>
  </si>
  <si>
    <t>NARVARTE-ALAMOS</t>
  </si>
  <si>
    <t>PORTALES</t>
  </si>
  <si>
    <t>NATIVITAS</t>
  </si>
  <si>
    <t>BJ</t>
  </si>
  <si>
    <t>TLATELOLCO</t>
  </si>
  <si>
    <t>MORELOS</t>
  </si>
  <si>
    <t>REVOLUCION-ALAMEDA</t>
  </si>
  <si>
    <t>ROMA</t>
  </si>
  <si>
    <t>CENTRO</t>
  </si>
  <si>
    <t>ANGEL-ZONA ROSA</t>
  </si>
  <si>
    <t>BUENAVISTA</t>
  </si>
  <si>
    <t>ASTURIAS</t>
  </si>
  <si>
    <t>ZONA CENTRO</t>
  </si>
  <si>
    <t>CUH</t>
  </si>
  <si>
    <t>HORMIGA</t>
  </si>
  <si>
    <t>CLAVERIA</t>
  </si>
  <si>
    <t>CUITLAHUAC</t>
  </si>
  <si>
    <t>LA RAZA</t>
  </si>
  <si>
    <t>SOTELO</t>
  </si>
  <si>
    <t>AZC</t>
  </si>
  <si>
    <t>09</t>
  </si>
  <si>
    <t>ZONA PONIENTE</t>
  </si>
  <si>
    <t>MH</t>
  </si>
  <si>
    <t>CHAPULTEPEC</t>
  </si>
  <si>
    <t>POLANCO</t>
  </si>
  <si>
    <t>EMBAJADAS</t>
  </si>
  <si>
    <t>TACUBA</t>
  </si>
  <si>
    <t>TACUBAYA</t>
  </si>
  <si>
    <t>PLATEROS</t>
  </si>
  <si>
    <t>AO</t>
  </si>
  <si>
    <t>SANTA FE</t>
  </si>
  <si>
    <t>ALPES</t>
  </si>
  <si>
    <t>SAN ANGEL</t>
  </si>
  <si>
    <t>CUAJIMALPA</t>
  </si>
  <si>
    <t>EL YAQUI</t>
  </si>
  <si>
    <t>CHURUBUSCO</t>
  </si>
  <si>
    <t>GRANJAS</t>
  </si>
  <si>
    <t>ABASTO-REFORMA</t>
  </si>
  <si>
    <t>SANTA CRUZ</t>
  </si>
  <si>
    <t>OASIS</t>
  </si>
  <si>
    <t>ESTRELLA</t>
  </si>
  <si>
    <t>TEOTONGO</t>
  </si>
  <si>
    <t>QUETZAL</t>
  </si>
  <si>
    <t>TEZONCO</t>
  </si>
  <si>
    <t>IZP</t>
  </si>
  <si>
    <t>ZONA ORIENTE</t>
  </si>
  <si>
    <t>LA NORIA</t>
  </si>
  <si>
    <t>XOC</t>
  </si>
  <si>
    <t>TEPEPAN</t>
  </si>
  <si>
    <t>ZAPOTITLA</t>
  </si>
  <si>
    <t>MIXQUIC</t>
  </si>
  <si>
    <t>TLH</t>
  </si>
  <si>
    <t>MILPA ALTA</t>
  </si>
  <si>
    <t>TECOMIL</t>
  </si>
  <si>
    <t>MIL</t>
  </si>
  <si>
    <t>SECTOR</t>
  </si>
  <si>
    <t>ALC</t>
  </si>
  <si>
    <t>IDE</t>
  </si>
  <si>
    <t>ZONA</t>
  </si>
  <si>
    <t>IDE_IND</t>
  </si>
  <si>
    <t>ZONA VIAL 1</t>
  </si>
  <si>
    <t>ZONA VIAL 2</t>
  </si>
  <si>
    <t>ZONA VIAL 3</t>
  </si>
  <si>
    <t>ZONA VIAL 4</t>
  </si>
  <si>
    <t>ZONA VIAL 5</t>
  </si>
  <si>
    <t>ZONA VIAL 6</t>
  </si>
  <si>
    <t>ZONA VIAL 7</t>
  </si>
  <si>
    <t>ZONA VIAL 8</t>
  </si>
  <si>
    <t>ZONA VIAL 6 DISP. MOV.</t>
  </si>
  <si>
    <t>ZONA VIAL 7 ESTA. V.P.</t>
  </si>
  <si>
    <t>ZONA VIAL 8 PARQUIMETROS E INMOV.</t>
  </si>
  <si>
    <t>MONTADA</t>
  </si>
  <si>
    <t>UPM ORIENTE</t>
  </si>
  <si>
    <t>UPM PONIENTE</t>
  </si>
  <si>
    <t>FUERZA DE TAREA</t>
  </si>
  <si>
    <t>GEM</t>
  </si>
  <si>
    <t>AMBIENTAL</t>
  </si>
  <si>
    <t>FEMENIL</t>
  </si>
  <si>
    <t>POL. TRANSPORTE</t>
  </si>
  <si>
    <t>TURISTICA</t>
  </si>
  <si>
    <t>DUCS</t>
  </si>
  <si>
    <t>AGRUPAMIENTOS</t>
  </si>
  <si>
    <t>Pol. Turistica</t>
  </si>
  <si>
    <t>UPM Oriente</t>
  </si>
  <si>
    <t>UPM Poniente</t>
  </si>
  <si>
    <t>Consulado</t>
  </si>
  <si>
    <t>Moctezuma</t>
  </si>
  <si>
    <t>Zaragoza</t>
  </si>
  <si>
    <t>Arenal</t>
  </si>
  <si>
    <t>Merced-Balbuena</t>
  </si>
  <si>
    <t>Congreso</t>
  </si>
  <si>
    <t>Iztaccihualtl</t>
  </si>
  <si>
    <t>Tlacotal</t>
  </si>
  <si>
    <t>Pantitlan</t>
  </si>
  <si>
    <t>Universidad</t>
  </si>
  <si>
    <t>Coyoacan</t>
  </si>
  <si>
    <t>Taxqueña</t>
  </si>
  <si>
    <t>Xotepingo</t>
  </si>
  <si>
    <t>Culhuacan</t>
  </si>
  <si>
    <t>San Jeronimo</t>
  </si>
  <si>
    <t>Dinamo</t>
  </si>
  <si>
    <t>Fuente</t>
  </si>
  <si>
    <t>Padierna</t>
  </si>
  <si>
    <t>Coapa</t>
  </si>
  <si>
    <t>Huipulco-Hospitales</t>
  </si>
  <si>
    <t>Napoles</t>
  </si>
  <si>
    <t>Del Valle</t>
  </si>
  <si>
    <t>Narvarte-Alamos</t>
  </si>
  <si>
    <t>Portales</t>
  </si>
  <si>
    <t>Nativitas</t>
  </si>
  <si>
    <t>Tlatelolco</t>
  </si>
  <si>
    <t>Morelos</t>
  </si>
  <si>
    <t>Revolucion-Alameda</t>
  </si>
  <si>
    <t>Roma</t>
  </si>
  <si>
    <t>Centro</t>
  </si>
  <si>
    <t>Angel-Zona Rosa</t>
  </si>
  <si>
    <t>Buenavista</t>
  </si>
  <si>
    <t>Asturias</t>
  </si>
  <si>
    <t>Hormiga</t>
  </si>
  <si>
    <t>Claveria</t>
  </si>
  <si>
    <t>Cuitlahuac</t>
  </si>
  <si>
    <t>La Raza</t>
  </si>
  <si>
    <t>Sotelo</t>
  </si>
  <si>
    <t>Chapultepec</t>
  </si>
  <si>
    <t>Polanco</t>
  </si>
  <si>
    <t>Embajadas</t>
  </si>
  <si>
    <t>Tacuba</t>
  </si>
  <si>
    <t>Tacubaya</t>
  </si>
  <si>
    <t>Plateros</t>
  </si>
  <si>
    <t>Santa Fe</t>
  </si>
  <si>
    <t>Alpes</t>
  </si>
  <si>
    <t>San Angel</t>
  </si>
  <si>
    <t>Cuajimalpa</t>
  </si>
  <si>
    <t>El Yaqui</t>
  </si>
  <si>
    <t>Churubusco</t>
  </si>
  <si>
    <t>Granjas</t>
  </si>
  <si>
    <t>Abasto-Reforma</t>
  </si>
  <si>
    <t>Santa Cruz</t>
  </si>
  <si>
    <t>Oasis</t>
  </si>
  <si>
    <t>Estrella</t>
  </si>
  <si>
    <t>Teotongo</t>
  </si>
  <si>
    <t>Quetzal</t>
  </si>
  <si>
    <t>Tezonco</t>
  </si>
  <si>
    <t>La Noria</t>
  </si>
  <si>
    <t>Tepepan</t>
  </si>
  <si>
    <t>Zapotitla</t>
  </si>
  <si>
    <t>Mixquic</t>
  </si>
  <si>
    <t>Milpa Alta</t>
  </si>
  <si>
    <t>Tecomil</t>
  </si>
  <si>
    <t>Zona Vial 1</t>
  </si>
  <si>
    <t>Zona Vial 2</t>
  </si>
  <si>
    <t>Zona Vial 3</t>
  </si>
  <si>
    <t>Zona Vial 4</t>
  </si>
  <si>
    <t>Zona Vial 5</t>
  </si>
  <si>
    <t>Zona Vial 6 Disp. Mov.</t>
  </si>
  <si>
    <t>Zona Vial 7 Esta. V.P.</t>
  </si>
  <si>
    <t>Montada</t>
  </si>
  <si>
    <t>Ambiental</t>
  </si>
  <si>
    <t>Femenil</t>
  </si>
  <si>
    <t>Pol. Transporte</t>
  </si>
  <si>
    <t>Fuerza de Tarea</t>
  </si>
  <si>
    <t>Zona Vial 8 Parquimetros e Inmov.</t>
  </si>
  <si>
    <t>Id</t>
  </si>
  <si>
    <t>26</t>
  </si>
  <si>
    <t>27</t>
  </si>
  <si>
    <t>29</t>
  </si>
  <si>
    <t>30</t>
  </si>
  <si>
    <t>31</t>
  </si>
  <si>
    <t>88</t>
  </si>
  <si>
    <t>32</t>
  </si>
  <si>
    <t>33</t>
  </si>
  <si>
    <t>34</t>
  </si>
  <si>
    <t>56</t>
  </si>
  <si>
    <t>57</t>
  </si>
  <si>
    <t>58</t>
  </si>
  <si>
    <t>59</t>
  </si>
  <si>
    <t>60</t>
  </si>
  <si>
    <t>61</t>
  </si>
  <si>
    <t>62</t>
  </si>
  <si>
    <t>68</t>
  </si>
  <si>
    <t>67</t>
  </si>
  <si>
    <t>70</t>
  </si>
  <si>
    <t>91</t>
  </si>
  <si>
    <t>35</t>
  </si>
  <si>
    <t>36</t>
  </si>
  <si>
    <t>37</t>
  </si>
  <si>
    <t>38</t>
  </si>
  <si>
    <t>39</t>
  </si>
  <si>
    <t>18</t>
  </si>
  <si>
    <t>20</t>
  </si>
  <si>
    <t>22</t>
  </si>
  <si>
    <t>24</t>
  </si>
  <si>
    <t>73</t>
  </si>
  <si>
    <t>75</t>
  </si>
  <si>
    <t>93</t>
  </si>
  <si>
    <t>94</t>
  </si>
  <si>
    <t>10</t>
  </si>
  <si>
    <t>11</t>
  </si>
  <si>
    <t>12</t>
  </si>
  <si>
    <t>14</t>
  </si>
  <si>
    <t>15</t>
  </si>
  <si>
    <t>16</t>
  </si>
  <si>
    <t>74</t>
  </si>
  <si>
    <t>92</t>
  </si>
  <si>
    <t>96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</si>
  <si>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</si>
  <si>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</si>
  <si>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</si>
  <si>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</si>
  <si>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</si>
  <si>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</si>
  <si>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</si>
  <si>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</si>
  <si>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</si>
  <si>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</si>
  <si>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</si>
  <si>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</si>
  <si>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54</t>
  </si>
  <si>
    <t>97</t>
  </si>
  <si>
    <t>98</t>
  </si>
  <si>
    <t>65</t>
  </si>
  <si>
    <t>66</t>
  </si>
  <si>
    <t>63</t>
  </si>
  <si>
    <t>64</t>
  </si>
  <si>
    <t>71</t>
  </si>
  <si>
    <t>72</t>
  </si>
  <si>
    <t>21</t>
  </si>
  <si>
    <t>23</t>
  </si>
  <si>
    <t>25</t>
  </si>
  <si>
    <t>28</t>
  </si>
  <si>
    <t>&lt;option value='Angel-Zona Rosa'&gt;Angel-Zona Rosa&lt;/option&gt;
&lt;option value='Asturias'&gt;Asturias&lt;/option&gt;
&lt;option value='Buenavista'&gt;Buenavista&lt;/option&gt;
&lt;option value='Centro'&gt;Centro&lt;/option&gt;
&lt;option value='Morelos'&gt;Morelos&lt;/option&gt;
&lt;option value='Revolucion-Alameda'&gt;Revolucion-Alameda&lt;/option&gt;
&lt;option value='Roma'&gt;Roma&lt;/option&gt;
&lt;option value='Tlatelolco'&gt;Tlatelolco&lt;/option&gt;</t>
  </si>
  <si>
    <t>&lt;option value='Zona Vial 1'&gt;Zona Vial 1&lt;/option&gt;
&lt;option value='Zona Vial 2'&gt;Zona Vial 2&lt;/option&gt;
&lt;option value='Zona Vial 3'&gt;Zona Vial 3&lt;/option&gt;
&lt;option value='Zona Vial 4'&gt;Zona Vial 4&lt;/option&gt;
&lt;option value='Zona Vial 5'&gt;Zona Vial 5&lt;/option&gt;
&lt;option value='Zona Vial 6 Disp. Mov.'&gt;Zona Vial 6 Disp. Mov.&lt;/option&gt;
&lt;option value='Zona Vial 7 Esta. V.P.'&gt;Zona Vial 7 Esta. V.P.&lt;/option&gt;
&lt;option value='Zona Vial 8 Parquimetros e Inmov.'&gt;Zona Vial 8 Parquimetros e Inmov.&lt;/option&gt;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</si>
</sst>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topLeftCell="A20" workbookViewId="0">
      <selection activeCell="K102" sqref="K102"/>
    </sheetView>
  </sheetViews>
  <sheetFormatPr baseColWidth="10" defaultRowHeight="15" x14ac:dyDescent="0.25"/>
  <cols>
    <col min="2" max="2" width="22.28515625" style="5" bestFit="1" customWidth="1"/>
    <col min="3" max="3" width="5.28515625" style="1" bestFit="1" customWidth="1"/>
    <col min="4" max="4" width="11.42578125" style="1"/>
    <col min="5" max="5" width="20" style="1" customWidth="1"/>
    <col min="6" max="6" width="11.42578125" style="1"/>
    <col min="8" max="8" width="31.5703125" bestFit="1" customWidth="1"/>
    <col min="9" max="9" width="95.85546875" bestFit="1" customWidth="1"/>
  </cols>
  <sheetData>
    <row r="1" spans="1:10" x14ac:dyDescent="0.25">
      <c r="A1" t="s">
        <v>216</v>
      </c>
      <c r="B1" s="6" t="s">
        <v>109</v>
      </c>
      <c r="C1" s="7" t="s">
        <v>110</v>
      </c>
      <c r="D1" s="7" t="s">
        <v>111</v>
      </c>
      <c r="E1" s="7" t="s">
        <v>112</v>
      </c>
      <c r="F1" s="7" t="s">
        <v>113</v>
      </c>
    </row>
    <row r="2" spans="1:10" x14ac:dyDescent="0.25">
      <c r="A2">
        <v>86</v>
      </c>
      <c r="B2" s="5" t="s">
        <v>130</v>
      </c>
      <c r="D2" s="1">
        <v>4626</v>
      </c>
      <c r="E2" s="1" t="s">
        <v>135</v>
      </c>
      <c r="F2" s="1" t="s">
        <v>217</v>
      </c>
      <c r="H2" t="s">
        <v>211</v>
      </c>
      <c r="I2" t="str">
        <f>CONCATENATE("&lt;option value='",H2,"'&gt;",H2,"&lt;/option&gt;")</f>
        <v>&lt;option value='Ambiental'&gt;Ambiental&lt;/option&gt;</v>
      </c>
      <c r="J2" s="8" t="str">
        <f>I2</f>
        <v>&lt;option value='Ambiental'&gt;Ambiental&lt;/option&gt;</v>
      </c>
    </row>
    <row r="3" spans="1:10" x14ac:dyDescent="0.25">
      <c r="A3">
        <v>90</v>
      </c>
      <c r="B3" s="5" t="s">
        <v>134</v>
      </c>
      <c r="D3" s="1">
        <v>4745</v>
      </c>
      <c r="E3" s="1" t="s">
        <v>135</v>
      </c>
      <c r="F3" s="1" t="s">
        <v>264</v>
      </c>
      <c r="H3" t="s">
        <v>134</v>
      </c>
      <c r="I3" t="str">
        <f t="shared" ref="I3:I66" si="0">CONCATENATE("&lt;option value='",H3,"'&gt;",H3,"&lt;/option&gt;")</f>
        <v>&lt;option value='DUCS'&gt;DUCS&lt;/option&gt;</v>
      </c>
      <c r="J3" t="str">
        <f>CONCATENATE(J2,CHAR(10),I3)</f>
        <v>&lt;option value='Ambiental'&gt;Ambiental&lt;/option&gt;
&lt;option value='DUCS'&gt;DUCS&lt;/option&gt;</v>
      </c>
    </row>
    <row r="4" spans="1:10" x14ac:dyDescent="0.25">
      <c r="A4">
        <v>87</v>
      </c>
      <c r="B4" s="5" t="s">
        <v>131</v>
      </c>
      <c r="D4" s="1">
        <v>4627</v>
      </c>
      <c r="E4" s="1" t="s">
        <v>135</v>
      </c>
      <c r="F4" s="1" t="s">
        <v>218</v>
      </c>
      <c r="H4" t="s">
        <v>212</v>
      </c>
      <c r="I4" t="str">
        <f t="shared" si="0"/>
        <v>&lt;option value='Femenil'&gt;Femenil&lt;/option&gt;</v>
      </c>
      <c r="J4" t="str">
        <f t="shared" ref="J4:J11" si="1">CONCATENATE(J3,CHAR(10),I4)</f>
        <v>&lt;option value='Ambiental'&gt;Ambiental&lt;/option&gt;
&lt;option value='DUCS'&gt;DUCS&lt;/option&gt;
&lt;option value='Femenil'&gt;Femenil&lt;/option&gt;</v>
      </c>
    </row>
    <row r="5" spans="1:10" x14ac:dyDescent="0.25">
      <c r="A5">
        <v>84</v>
      </c>
      <c r="B5" s="5" t="s">
        <v>128</v>
      </c>
      <c r="D5" s="1">
        <v>4624</v>
      </c>
      <c r="E5" s="1" t="s">
        <v>135</v>
      </c>
      <c r="F5" s="1" t="s">
        <v>245</v>
      </c>
      <c r="H5" t="s">
        <v>214</v>
      </c>
      <c r="I5" t="str">
        <f t="shared" si="0"/>
        <v>&lt;option value='Fuerza de Tarea'&gt;Fuerza de Tarea&lt;/option&gt;</v>
      </c>
      <c r="J5" t="str">
        <f t="shared" si="1"/>
        <v>&lt;option value='Ambiental'&gt;Ambiental&lt;/option&gt;
&lt;option value='DUCS'&gt;DUCS&lt;/option&gt;
&lt;option value='Femenil'&gt;Femenil&lt;/option&gt;
&lt;option value='Fuerza de Tarea'&gt;Fuerza de Tarea&lt;/option&gt;</v>
      </c>
    </row>
    <row r="6" spans="1:10" x14ac:dyDescent="0.25">
      <c r="A6">
        <v>85</v>
      </c>
      <c r="B6" s="5" t="s">
        <v>129</v>
      </c>
      <c r="D6" s="1">
        <v>4625</v>
      </c>
      <c r="E6" s="1" t="s">
        <v>135</v>
      </c>
      <c r="F6" s="1" t="s">
        <v>282</v>
      </c>
      <c r="H6" t="s">
        <v>129</v>
      </c>
      <c r="I6" t="str">
        <f t="shared" si="0"/>
        <v>&lt;option value='GEM'&gt;GEM&lt;/option&gt;</v>
      </c>
      <c r="J6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</v>
      </c>
    </row>
    <row r="7" spans="1:10" x14ac:dyDescent="0.25">
      <c r="A7">
        <v>81</v>
      </c>
      <c r="B7" s="5" t="s">
        <v>125</v>
      </c>
      <c r="D7" s="1">
        <v>4621</v>
      </c>
      <c r="E7" s="1" t="s">
        <v>135</v>
      </c>
      <c r="F7" s="1" t="s">
        <v>280</v>
      </c>
      <c r="H7" t="s">
        <v>210</v>
      </c>
      <c r="I7" t="str">
        <f t="shared" si="0"/>
        <v>&lt;option value='Montada'&gt;Montada&lt;/option&gt;</v>
      </c>
      <c r="J7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
&lt;option value='Montada'&gt;Montada&lt;/option&gt;</v>
      </c>
    </row>
    <row r="8" spans="1:10" x14ac:dyDescent="0.25">
      <c r="A8">
        <v>88</v>
      </c>
      <c r="B8" s="5" t="s">
        <v>132</v>
      </c>
      <c r="D8" s="1">
        <v>4628</v>
      </c>
      <c r="E8" s="1" t="s">
        <v>135</v>
      </c>
      <c r="F8" s="1" t="s">
        <v>283</v>
      </c>
      <c r="H8" t="s">
        <v>213</v>
      </c>
      <c r="I8" t="str">
        <f t="shared" si="0"/>
        <v>&lt;option value='Pol. Transporte'&gt;Pol. Transporte&lt;/option&gt;</v>
      </c>
      <c r="J8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
&lt;option value='Montada'&gt;Montada&lt;/option&gt;
&lt;option value='Pol. Transporte'&gt;Pol. Transporte&lt;/option&gt;</v>
      </c>
    </row>
    <row r="9" spans="1:10" x14ac:dyDescent="0.25">
      <c r="A9">
        <v>89</v>
      </c>
      <c r="B9" s="5" t="s">
        <v>133</v>
      </c>
      <c r="D9" s="1">
        <v>4748</v>
      </c>
      <c r="E9" s="1" t="s">
        <v>135</v>
      </c>
      <c r="F9" s="1" t="s">
        <v>267</v>
      </c>
      <c r="H9" t="s">
        <v>136</v>
      </c>
      <c r="I9" t="str">
        <f t="shared" si="0"/>
        <v>&lt;option value='Pol. Turistica'&gt;Pol. Turistica&lt;/option&gt;</v>
      </c>
      <c r="J9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
&lt;option value='Montada'&gt;Montada&lt;/option&gt;
&lt;option value='Pol. Transporte'&gt;Pol. Transporte&lt;/option&gt;
&lt;option value='Pol. Turistica'&gt;Pol. Turistica&lt;/option&gt;</v>
      </c>
    </row>
    <row r="10" spans="1:10" x14ac:dyDescent="0.25">
      <c r="A10">
        <v>82</v>
      </c>
      <c r="B10" s="5" t="s">
        <v>126</v>
      </c>
      <c r="D10" s="1">
        <v>4622</v>
      </c>
      <c r="E10" s="1" t="s">
        <v>135</v>
      </c>
      <c r="F10" s="1" t="s">
        <v>244</v>
      </c>
      <c r="H10" t="s">
        <v>137</v>
      </c>
      <c r="I10" t="str">
        <f t="shared" si="0"/>
        <v>&lt;option value='UPM Oriente'&gt;UPM Oriente&lt;/option&gt;</v>
      </c>
      <c r="J10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
&lt;option value='Montada'&gt;Montada&lt;/option&gt;
&lt;option value='Pol. Transporte'&gt;Pol. Transporte&lt;/option&gt;
&lt;option value='Pol. Turistica'&gt;Pol. Turistica&lt;/option&gt;
&lt;option value='UPM Oriente'&gt;UPM Oriente&lt;/option&gt;</v>
      </c>
    </row>
    <row r="11" spans="1:10" x14ac:dyDescent="0.25">
      <c r="A11">
        <v>83</v>
      </c>
      <c r="B11" s="5" t="s">
        <v>127</v>
      </c>
      <c r="D11" s="1">
        <v>4623</v>
      </c>
      <c r="E11" s="1" t="s">
        <v>135</v>
      </c>
      <c r="F11" s="1" t="s">
        <v>281</v>
      </c>
      <c r="H11" t="s">
        <v>138</v>
      </c>
      <c r="I11" t="str">
        <f t="shared" si="0"/>
        <v>&lt;option value='UPM Poniente'&gt;UPM Poniente&lt;/option&gt;</v>
      </c>
      <c r="J11" t="str">
        <f t="shared" si="1"/>
        <v>&lt;option value='Ambiental'&gt;Ambiental&lt;/option&gt;
&lt;option value='DUCS'&gt;DUCS&lt;/option&gt;
&lt;option value='Femenil'&gt;Femenil&lt;/option&gt;
&lt;option value='Fuerza de Tarea'&gt;Fuerza de Tarea&lt;/option&gt;
&lt;option value='GEM'&gt;GEM&lt;/option&gt;
&lt;option value='Montada'&gt;Montada&lt;/option&gt;
&lt;option value='Pol. Transporte'&gt;Pol. Transporte&lt;/option&gt;
&lt;option value='Pol. Turistica'&gt;Pol. Turistica&lt;/option&gt;
&lt;option value='UPM Oriente'&gt;UPM Oriente&lt;/option&gt;
&lt;option value='UPM Poniente'&gt;UPM Poniente&lt;/option&gt;</v>
      </c>
    </row>
    <row r="13" spans="1:10" x14ac:dyDescent="0.25">
      <c r="A13">
        <v>39</v>
      </c>
      <c r="B13" s="5" t="s">
        <v>63</v>
      </c>
      <c r="C13" s="1" t="s">
        <v>67</v>
      </c>
      <c r="D13" s="3">
        <v>4975</v>
      </c>
      <c r="E13" s="1" t="s">
        <v>66</v>
      </c>
      <c r="F13" s="1" t="s">
        <v>247</v>
      </c>
      <c r="H13" t="s">
        <v>169</v>
      </c>
      <c r="I13" t="str">
        <f t="shared" si="0"/>
        <v>&lt;option value='Angel-Zona Rosa'&gt;Angel-Zona Rosa&lt;/option&gt;</v>
      </c>
      <c r="J13" t="str">
        <f>I13</f>
        <v>&lt;option value='Angel-Zona Rosa'&gt;Angel-Zona Rosa&lt;/option&gt;</v>
      </c>
    </row>
    <row r="14" spans="1:10" x14ac:dyDescent="0.25">
      <c r="A14">
        <v>41</v>
      </c>
      <c r="B14" s="5" t="s">
        <v>65</v>
      </c>
      <c r="C14" s="1" t="s">
        <v>67</v>
      </c>
      <c r="D14" s="3">
        <v>4994</v>
      </c>
      <c r="E14" s="1" t="s">
        <v>66</v>
      </c>
      <c r="F14" s="1" t="s">
        <v>249</v>
      </c>
      <c r="H14" t="s">
        <v>171</v>
      </c>
      <c r="I14" t="str">
        <f t="shared" si="0"/>
        <v>&lt;option value='Asturias'&gt;Asturias&lt;/option&gt;</v>
      </c>
      <c r="J14" t="str">
        <f>CONCATENATE(J13,CHAR(10),I14)</f>
        <v>&lt;option value='Angel-Zona Rosa'&gt;Angel-Zona Rosa&lt;/option&gt;
&lt;option value='Asturias'&gt;Asturias&lt;/option&gt;</v>
      </c>
    </row>
    <row r="15" spans="1:10" x14ac:dyDescent="0.25">
      <c r="A15">
        <v>40</v>
      </c>
      <c r="B15" s="5" t="s">
        <v>64</v>
      </c>
      <c r="C15" s="1" t="s">
        <v>67</v>
      </c>
      <c r="D15" s="3">
        <v>4993</v>
      </c>
      <c r="E15" s="1" t="s">
        <v>66</v>
      </c>
      <c r="F15" s="1" t="s">
        <v>248</v>
      </c>
      <c r="H15" t="s">
        <v>170</v>
      </c>
      <c r="I15" t="str">
        <f t="shared" si="0"/>
        <v>&lt;option value='Buenavista'&gt;Buenavista&lt;/option&gt;</v>
      </c>
      <c r="J15" t="str">
        <f t="shared" ref="J14:J20" si="2">CONCATENATE(J14,CHAR(10),I15)</f>
        <v>&lt;option value='Angel-Zona Rosa'&gt;Angel-Zona Rosa&lt;/option&gt;
&lt;option value='Asturias'&gt;Asturias&lt;/option&gt;
&lt;option value='Buenavista'&gt;Buenavista&lt;/option&gt;</v>
      </c>
    </row>
    <row r="16" spans="1:10" x14ac:dyDescent="0.25">
      <c r="A16">
        <v>38</v>
      </c>
      <c r="B16" s="5" t="s">
        <v>62</v>
      </c>
      <c r="C16" s="1" t="s">
        <v>67</v>
      </c>
      <c r="D16" s="3">
        <v>4973</v>
      </c>
      <c r="E16" s="1" t="s">
        <v>66</v>
      </c>
      <c r="F16" s="1" t="s">
        <v>246</v>
      </c>
      <c r="H16" t="s">
        <v>168</v>
      </c>
      <c r="I16" t="str">
        <f t="shared" si="0"/>
        <v>&lt;option value='Centro'&gt;Centro&lt;/option&gt;</v>
      </c>
      <c r="J16" t="str">
        <f t="shared" si="2"/>
        <v>&lt;option value='Angel-Zona Rosa'&gt;Angel-Zona Rosa&lt;/option&gt;
&lt;option value='Asturias'&gt;Asturias&lt;/option&gt;
&lt;option value='Buenavista'&gt;Buenavista&lt;/option&gt;
&lt;option value='Centro'&gt;Centro&lt;/option&gt;</v>
      </c>
    </row>
    <row r="17" spans="1:10" x14ac:dyDescent="0.25">
      <c r="A17">
        <v>35</v>
      </c>
      <c r="B17" s="5" t="s">
        <v>59</v>
      </c>
      <c r="C17" s="1" t="s">
        <v>67</v>
      </c>
      <c r="D17" s="3">
        <v>4920</v>
      </c>
      <c r="E17" s="1" t="s">
        <v>66</v>
      </c>
      <c r="F17" s="1" t="s">
        <v>243</v>
      </c>
      <c r="H17" t="s">
        <v>165</v>
      </c>
      <c r="I17" t="str">
        <f t="shared" si="0"/>
        <v>&lt;option value='Morelos'&gt;Morelos&lt;/option&gt;</v>
      </c>
      <c r="J17" t="str">
        <f t="shared" si="2"/>
        <v>&lt;option value='Angel-Zona Rosa'&gt;Angel-Zona Rosa&lt;/option&gt;
&lt;option value='Asturias'&gt;Asturias&lt;/option&gt;
&lt;option value='Buenavista'&gt;Buenavista&lt;/option&gt;
&lt;option value='Centro'&gt;Centro&lt;/option&gt;
&lt;option value='Morelos'&gt;Morelos&lt;/option&gt;</v>
      </c>
    </row>
    <row r="18" spans="1:10" x14ac:dyDescent="0.25">
      <c r="A18">
        <v>36</v>
      </c>
      <c r="B18" s="5" t="s">
        <v>60</v>
      </c>
      <c r="C18" s="1" t="s">
        <v>67</v>
      </c>
      <c r="D18" s="3">
        <v>4922</v>
      </c>
      <c r="E18" s="1" t="s">
        <v>66</v>
      </c>
      <c r="F18" s="1" t="s">
        <v>244</v>
      </c>
      <c r="H18" t="s">
        <v>166</v>
      </c>
      <c r="I18" t="str">
        <f t="shared" si="0"/>
        <v>&lt;option value='Revolucion-Alameda'&gt;Revolucion-Alameda&lt;/option&gt;</v>
      </c>
      <c r="J18" t="str">
        <f t="shared" si="2"/>
        <v>&lt;option value='Angel-Zona Rosa'&gt;Angel-Zona Rosa&lt;/option&gt;
&lt;option value='Asturias'&gt;Asturias&lt;/option&gt;
&lt;option value='Buenavista'&gt;Buenavista&lt;/option&gt;
&lt;option value='Centro'&gt;Centro&lt;/option&gt;
&lt;option value='Morelos'&gt;Morelos&lt;/option&gt;
&lt;option value='Revolucion-Alameda'&gt;Revolucion-Alameda&lt;/option&gt;</v>
      </c>
    </row>
    <row r="19" spans="1:10" x14ac:dyDescent="0.25">
      <c r="A19">
        <v>37</v>
      </c>
      <c r="B19" s="5" t="s">
        <v>61</v>
      </c>
      <c r="C19" s="1" t="s">
        <v>67</v>
      </c>
      <c r="D19" s="3">
        <v>4924</v>
      </c>
      <c r="E19" s="1" t="s">
        <v>66</v>
      </c>
      <c r="F19" s="1" t="s">
        <v>245</v>
      </c>
      <c r="H19" t="s">
        <v>167</v>
      </c>
      <c r="I19" t="str">
        <f t="shared" si="0"/>
        <v>&lt;option value='Roma'&gt;Roma&lt;/option&gt;</v>
      </c>
      <c r="J19" t="str">
        <f t="shared" si="2"/>
        <v>&lt;option value='Angel-Zona Rosa'&gt;Angel-Zona Rosa&lt;/option&gt;
&lt;option value='Asturias'&gt;Asturias&lt;/option&gt;
&lt;option value='Buenavista'&gt;Buenavista&lt;/option&gt;
&lt;option value='Centro'&gt;Centro&lt;/option&gt;
&lt;option value='Morelos'&gt;Morelos&lt;/option&gt;
&lt;option value='Revolucion-Alameda'&gt;Revolucion-Alameda&lt;/option&gt;
&lt;option value='Roma'&gt;Roma&lt;/option&gt;</v>
      </c>
    </row>
    <row r="20" spans="1:10" x14ac:dyDescent="0.25">
      <c r="A20">
        <v>34</v>
      </c>
      <c r="B20" s="5" t="s">
        <v>58</v>
      </c>
      <c r="C20" s="1" t="s">
        <v>67</v>
      </c>
      <c r="D20" s="3">
        <v>4918</v>
      </c>
      <c r="E20" s="1" t="s">
        <v>66</v>
      </c>
      <c r="F20" s="1" t="s">
        <v>242</v>
      </c>
      <c r="H20" t="s">
        <v>164</v>
      </c>
      <c r="I20" t="str">
        <f t="shared" si="0"/>
        <v>&lt;option value='Tlatelolco'&gt;Tlatelolco&lt;/option&gt;</v>
      </c>
      <c r="J20" t="str">
        <f t="shared" si="2"/>
        <v>&lt;option value='Angel-Zona Rosa'&gt;Angel-Zona Rosa&lt;/option&gt;
&lt;option value='Asturias'&gt;Asturias&lt;/option&gt;
&lt;option value='Buenavista'&gt;Buenavista&lt;/option&gt;
&lt;option value='Centro'&gt;Centro&lt;/option&gt;
&lt;option value='Morelos'&gt;Morelos&lt;/option&gt;
&lt;option value='Revolucion-Alameda'&gt;Revolucion-Alameda&lt;/option&gt;
&lt;option value='Roma'&gt;Roma&lt;/option&gt;
&lt;option value='Tlatelolco'&gt;Tlatelolco&lt;/option&gt;</v>
      </c>
    </row>
    <row r="21" spans="1:10" x14ac:dyDescent="0.25">
      <c r="D21" s="3"/>
      <c r="J21" t="s">
        <v>284</v>
      </c>
    </row>
    <row r="22" spans="1:10" x14ac:dyDescent="0.25">
      <c r="A22">
        <v>8</v>
      </c>
      <c r="B22" s="5" t="s">
        <v>27</v>
      </c>
      <c r="C22" s="1" t="s">
        <v>8</v>
      </c>
      <c r="D22" s="2">
        <v>4908</v>
      </c>
      <c r="E22" s="1" t="s">
        <v>36</v>
      </c>
      <c r="F22" s="1" t="s">
        <v>35</v>
      </c>
      <c r="H22" t="s">
        <v>7</v>
      </c>
      <c r="I22" t="str">
        <f t="shared" si="0"/>
        <v>&lt;option value='Aragon'&gt;Aragon&lt;/option&gt;</v>
      </c>
      <c r="J22" s="9"/>
    </row>
    <row r="23" spans="1:10" x14ac:dyDescent="0.25">
      <c r="A23">
        <v>12</v>
      </c>
      <c r="B23" s="5" t="s">
        <v>12</v>
      </c>
      <c r="C23" s="1" t="s">
        <v>15</v>
      </c>
      <c r="D23" s="3">
        <v>4930</v>
      </c>
      <c r="E23" s="1" t="s">
        <v>36</v>
      </c>
      <c r="F23" s="1" t="s">
        <v>220</v>
      </c>
      <c r="H23" t="s">
        <v>142</v>
      </c>
      <c r="I23" t="str">
        <f t="shared" si="0"/>
        <v>&lt;option value='Arenal'&gt;Arenal&lt;/option&gt;</v>
      </c>
      <c r="J23" t="str">
        <f>I23</f>
        <v>&lt;option value='Arenal'&gt;Arenal&lt;/option&gt;</v>
      </c>
    </row>
    <row r="24" spans="1:10" x14ac:dyDescent="0.25">
      <c r="A24">
        <v>14</v>
      </c>
      <c r="B24" s="5" t="s">
        <v>14</v>
      </c>
      <c r="C24" s="1" t="s">
        <v>15</v>
      </c>
      <c r="D24" s="3">
        <v>4988</v>
      </c>
      <c r="E24" s="1" t="s">
        <v>36</v>
      </c>
      <c r="F24" s="1" t="s">
        <v>222</v>
      </c>
      <c r="H24" t="s">
        <v>144</v>
      </c>
      <c r="I24" t="str">
        <f t="shared" si="0"/>
        <v>&lt;option value='Congreso'&gt;Congreso&lt;/option&gt;</v>
      </c>
      <c r="J24" t="str">
        <f>CONCATENATE(J23,CHAR(10),I24)</f>
        <v>&lt;option value='Arenal'&gt;Arenal&lt;/option&gt;
&lt;option value='Congreso'&gt;Congreso&lt;/option&gt;</v>
      </c>
    </row>
    <row r="25" spans="1:10" x14ac:dyDescent="0.25">
      <c r="A25">
        <v>9</v>
      </c>
      <c r="B25" s="5" t="s">
        <v>9</v>
      </c>
      <c r="C25" s="1" t="s">
        <v>15</v>
      </c>
      <c r="D25" s="3">
        <v>4926</v>
      </c>
      <c r="E25" s="1" t="s">
        <v>36</v>
      </c>
      <c r="F25" s="1" t="s">
        <v>217</v>
      </c>
      <c r="H25" t="s">
        <v>139</v>
      </c>
      <c r="I25" t="str">
        <f t="shared" si="0"/>
        <v>&lt;option value='Consulado'&gt;Consulado&lt;/option&gt;</v>
      </c>
      <c r="J25" t="str">
        <f t="shared" ref="J23:J38" si="3">CONCATENATE(J24,CHAR(10),I25)</f>
        <v>&lt;option value='Arenal'&gt;Arenal&lt;/option&gt;
&lt;option value='Congreso'&gt;Congreso&lt;/option&gt;
&lt;option value='Consulado'&gt;Consulado&lt;/option&gt;</v>
      </c>
    </row>
    <row r="26" spans="1:10" x14ac:dyDescent="0.25">
      <c r="A26">
        <v>1</v>
      </c>
      <c r="B26" s="5" t="s">
        <v>20</v>
      </c>
      <c r="C26" s="1" t="s">
        <v>8</v>
      </c>
      <c r="D26" s="2">
        <v>4901</v>
      </c>
      <c r="E26" s="1" t="s">
        <v>36</v>
      </c>
      <c r="F26" s="1" t="s">
        <v>28</v>
      </c>
      <c r="H26" t="s">
        <v>0</v>
      </c>
      <c r="I26" t="str">
        <f t="shared" si="0"/>
        <v>&lt;option value='Cuautepec'&gt;Cuautepec&lt;/option&gt;</v>
      </c>
      <c r="J26" t="str">
        <f t="shared" si="3"/>
        <v>&lt;option value='Arenal'&gt;Arenal&lt;/option&gt;
&lt;option value='Congreso'&gt;Congreso&lt;/option&gt;
&lt;option value='Consulado'&gt;Consulado&lt;/option&gt;
&lt;option value='Cuautepec'&gt;Cuautepec&lt;/option&gt;</v>
      </c>
    </row>
    <row r="27" spans="1:10" x14ac:dyDescent="0.25">
      <c r="A27">
        <v>7</v>
      </c>
      <c r="B27" s="5" t="s">
        <v>26</v>
      </c>
      <c r="C27" s="1" t="s">
        <v>8</v>
      </c>
      <c r="D27" s="2">
        <v>4907</v>
      </c>
      <c r="E27" s="1" t="s">
        <v>36</v>
      </c>
      <c r="F27" s="1" t="s">
        <v>34</v>
      </c>
      <c r="H27" t="s">
        <v>6</v>
      </c>
      <c r="I27" t="str">
        <f t="shared" si="0"/>
        <v>&lt;option value='Cuchilla'&gt;Cuchilla&lt;/option&gt;</v>
      </c>
      <c r="J27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</v>
      </c>
    </row>
    <row r="28" spans="1:10" x14ac:dyDescent="0.25">
      <c r="A28">
        <v>15</v>
      </c>
      <c r="B28" s="5" t="s">
        <v>16</v>
      </c>
      <c r="C28" s="1" t="s">
        <v>19</v>
      </c>
      <c r="D28" s="3">
        <v>4932</v>
      </c>
      <c r="E28" s="1" t="s">
        <v>36</v>
      </c>
      <c r="F28" s="1" t="s">
        <v>223</v>
      </c>
      <c r="H28" t="s">
        <v>145</v>
      </c>
      <c r="I28" t="str">
        <f t="shared" si="0"/>
        <v>&lt;option value='Iztaccihualtl'&gt;Iztaccihualtl&lt;/option&gt;</v>
      </c>
      <c r="J28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</v>
      </c>
    </row>
    <row r="29" spans="1:10" x14ac:dyDescent="0.25">
      <c r="A29">
        <v>3</v>
      </c>
      <c r="B29" s="5" t="s">
        <v>22</v>
      </c>
      <c r="C29" s="1" t="s">
        <v>8</v>
      </c>
      <c r="D29" s="2">
        <v>4903</v>
      </c>
      <c r="E29" s="1" t="s">
        <v>36</v>
      </c>
      <c r="F29" s="1" t="s">
        <v>30</v>
      </c>
      <c r="H29" t="s">
        <v>2</v>
      </c>
      <c r="I29" t="str">
        <f t="shared" si="0"/>
        <v>&lt;option value='Lindavista'&gt;Lindavista&lt;/option&gt;</v>
      </c>
      <c r="J29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</v>
      </c>
    </row>
    <row r="30" spans="1:10" x14ac:dyDescent="0.25">
      <c r="A30">
        <v>13</v>
      </c>
      <c r="B30" s="5" t="s">
        <v>13</v>
      </c>
      <c r="C30" s="1" t="s">
        <v>15</v>
      </c>
      <c r="D30" s="3">
        <v>4931</v>
      </c>
      <c r="E30" s="1" t="s">
        <v>36</v>
      </c>
      <c r="F30" s="1" t="s">
        <v>221</v>
      </c>
      <c r="H30" t="s">
        <v>143</v>
      </c>
      <c r="I30" t="str">
        <f t="shared" si="0"/>
        <v>&lt;option value='Merced-Balbuena'&gt;Merced-Balbuena&lt;/option&gt;</v>
      </c>
      <c r="J30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</v>
      </c>
    </row>
    <row r="31" spans="1:10" x14ac:dyDescent="0.25">
      <c r="A31">
        <v>10</v>
      </c>
      <c r="B31" s="5" t="s">
        <v>10</v>
      </c>
      <c r="C31" s="1" t="s">
        <v>15</v>
      </c>
      <c r="D31" s="3">
        <v>4927</v>
      </c>
      <c r="E31" s="1" t="s">
        <v>36</v>
      </c>
      <c r="F31" s="1" t="s">
        <v>218</v>
      </c>
      <c r="H31" t="s">
        <v>140</v>
      </c>
      <c r="I31" t="str">
        <f t="shared" si="0"/>
        <v>&lt;option value='Moctezuma'&gt;Moctezuma&lt;/option&gt;</v>
      </c>
      <c r="J31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</v>
      </c>
    </row>
    <row r="32" spans="1:10" x14ac:dyDescent="0.25">
      <c r="A32">
        <v>17</v>
      </c>
      <c r="B32" s="5" t="s">
        <v>18</v>
      </c>
      <c r="C32" s="1" t="s">
        <v>19</v>
      </c>
      <c r="D32" s="3">
        <v>4934</v>
      </c>
      <c r="E32" s="1" t="s">
        <v>36</v>
      </c>
      <c r="F32" s="1" t="s">
        <v>225</v>
      </c>
      <c r="H32" t="s">
        <v>147</v>
      </c>
      <c r="I32" t="str">
        <f t="shared" si="0"/>
        <v>&lt;option value='Pantitlan'&gt;Pantitlan&lt;/option&gt;</v>
      </c>
      <c r="J32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</v>
      </c>
    </row>
    <row r="33" spans="1:10" x14ac:dyDescent="0.25">
      <c r="A33">
        <v>5</v>
      </c>
      <c r="B33" s="5" t="s">
        <v>24</v>
      </c>
      <c r="C33" s="1" t="s">
        <v>8</v>
      </c>
      <c r="D33" s="2">
        <v>4905</v>
      </c>
      <c r="E33" s="1" t="s">
        <v>36</v>
      </c>
      <c r="F33" s="1" t="s">
        <v>32</v>
      </c>
      <c r="H33" t="s">
        <v>4</v>
      </c>
      <c r="I33" t="str">
        <f t="shared" si="0"/>
        <v>&lt;option value='Pradera'&gt;Pradera&lt;/option&gt;</v>
      </c>
      <c r="J33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</v>
      </c>
    </row>
    <row r="34" spans="1:10" x14ac:dyDescent="0.25">
      <c r="A34">
        <v>4</v>
      </c>
      <c r="B34" s="5" t="s">
        <v>23</v>
      </c>
      <c r="C34" s="1" t="s">
        <v>8</v>
      </c>
      <c r="D34" s="2">
        <v>4904</v>
      </c>
      <c r="E34" s="1" t="s">
        <v>36</v>
      </c>
      <c r="F34" s="1" t="s">
        <v>31</v>
      </c>
      <c r="H34" t="s">
        <v>3</v>
      </c>
      <c r="I34" t="str">
        <f t="shared" si="0"/>
        <v>&lt;option value='Quiroga'&gt;Quiroga&lt;/option&gt;</v>
      </c>
      <c r="J34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
&lt;option value='Quiroga'&gt;Quiroga&lt;/option&gt;</v>
      </c>
    </row>
    <row r="35" spans="1:10" x14ac:dyDescent="0.25">
      <c r="A35">
        <v>6</v>
      </c>
      <c r="B35" s="5" t="s">
        <v>25</v>
      </c>
      <c r="C35" s="1" t="s">
        <v>8</v>
      </c>
      <c r="D35" s="2">
        <v>4906</v>
      </c>
      <c r="E35" s="1" t="s">
        <v>36</v>
      </c>
      <c r="F35" s="1" t="s">
        <v>33</v>
      </c>
      <c r="H35" t="s">
        <v>5</v>
      </c>
      <c r="I35" t="str">
        <f t="shared" si="0"/>
        <v>&lt;option value='Tepeyac'&gt;Tepeyac&lt;/option&gt;</v>
      </c>
      <c r="J35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
&lt;option value='Quiroga'&gt;Quiroga&lt;/option&gt;
&lt;option value='Tepeyac'&gt;Tepeyac&lt;/option&gt;</v>
      </c>
    </row>
    <row r="36" spans="1:10" x14ac:dyDescent="0.25">
      <c r="A36">
        <v>2</v>
      </c>
      <c r="B36" s="5" t="s">
        <v>21</v>
      </c>
      <c r="C36" s="1" t="s">
        <v>8</v>
      </c>
      <c r="D36" s="2">
        <v>4902</v>
      </c>
      <c r="E36" s="1" t="s">
        <v>36</v>
      </c>
      <c r="F36" s="1" t="s">
        <v>29</v>
      </c>
      <c r="H36" t="s">
        <v>1</v>
      </c>
      <c r="I36" t="str">
        <f t="shared" si="0"/>
        <v>&lt;option value='Ticoman'&gt;Ticoman&lt;/option&gt;</v>
      </c>
      <c r="J36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
&lt;option value='Quiroga'&gt;Quiroga&lt;/option&gt;
&lt;option value='Tepeyac'&gt;Tepeyac&lt;/option&gt;
&lt;option value='Ticoman'&gt;Ticoman&lt;/option&gt;</v>
      </c>
    </row>
    <row r="37" spans="1:10" x14ac:dyDescent="0.25">
      <c r="A37">
        <v>16</v>
      </c>
      <c r="B37" s="5" t="s">
        <v>17</v>
      </c>
      <c r="C37" s="1" t="s">
        <v>19</v>
      </c>
      <c r="D37" s="3">
        <v>4933</v>
      </c>
      <c r="E37" s="1" t="s">
        <v>36</v>
      </c>
      <c r="F37" s="1" t="s">
        <v>224</v>
      </c>
      <c r="H37" t="s">
        <v>146</v>
      </c>
      <c r="I37" t="str">
        <f t="shared" si="0"/>
        <v>&lt;option value='Tlacotal'&gt;Tlacotal&lt;/option&gt;</v>
      </c>
      <c r="J37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
&lt;option value='Quiroga'&gt;Quiroga&lt;/option&gt;
&lt;option value='Tepeyac'&gt;Tepeyac&lt;/option&gt;
&lt;option value='Ticoman'&gt;Ticoman&lt;/option&gt;
&lt;option value='Tlacotal'&gt;Tlacotal&lt;/option&gt;</v>
      </c>
    </row>
    <row r="38" spans="1:10" x14ac:dyDescent="0.25">
      <c r="A38">
        <v>11</v>
      </c>
      <c r="B38" s="5" t="s">
        <v>11</v>
      </c>
      <c r="C38" s="1" t="s">
        <v>15</v>
      </c>
      <c r="D38" s="3">
        <v>4929</v>
      </c>
      <c r="E38" s="1" t="s">
        <v>36</v>
      </c>
      <c r="F38" s="1" t="s">
        <v>219</v>
      </c>
      <c r="H38" t="s">
        <v>141</v>
      </c>
      <c r="I38" t="str">
        <f t="shared" si="0"/>
        <v>&lt;option value='Zaragoza'&gt;Zaragoza&lt;/option&gt;</v>
      </c>
      <c r="J38" t="str">
        <f t="shared" si="3"/>
        <v>&lt;option value='Arenal'&gt;Arenal&lt;/option&gt;
&lt;option value='Congreso'&gt;Congreso&lt;/option&gt;
&lt;option value='Consulado'&gt;Consulado&lt;/option&gt;
&lt;option value='Cuautepec'&gt;Cuautepec&lt;/option&gt;
&lt;option value='Cuchilla'&gt;Cuchilla&lt;/option&gt;
&lt;option value='Iztaccihualtl'&gt;Iztaccihualtl&lt;/option&gt;
&lt;option value='Lindavista'&gt;Lindavista&lt;/option&gt;
&lt;option value='Merced-Balbuena'&gt;Merced-Balbuena&lt;/option&gt;
&lt;option value='Moctezuma'&gt;Moctezuma&lt;/option&gt;
&lt;option value='Pantitlan'&gt;Pantitlan&lt;/option&gt;
&lt;option value='Pradera'&gt;Pradera&lt;/option&gt;
&lt;option value='Quiroga'&gt;Quiroga&lt;/option&gt;
&lt;option value='Tepeyac'&gt;Tepeyac&lt;/option&gt;
&lt;option value='Ticoman'&gt;Ticoman&lt;/option&gt;
&lt;option value='Tlacotal'&gt;Tlacotal&lt;/option&gt;
&lt;option value='Zaragoza'&gt;Zaragoza&lt;/option&gt;</v>
      </c>
    </row>
    <row r="39" spans="1:10" x14ac:dyDescent="0.25">
      <c r="D39" s="3"/>
    </row>
    <row r="40" spans="1:10" x14ac:dyDescent="0.25">
      <c r="A40">
        <v>60</v>
      </c>
      <c r="B40" s="5" t="s">
        <v>91</v>
      </c>
      <c r="C40" s="1" t="s">
        <v>98</v>
      </c>
      <c r="D40" s="3">
        <v>4948</v>
      </c>
      <c r="E40" s="1" t="s">
        <v>99</v>
      </c>
      <c r="F40" s="1" t="s">
        <v>267</v>
      </c>
      <c r="H40" t="s">
        <v>190</v>
      </c>
      <c r="I40" t="str">
        <f t="shared" si="0"/>
        <v>&lt;option value='Abasto-Reforma'&gt;Abasto-Reforma&lt;/option&gt;</v>
      </c>
      <c r="J40" t="str">
        <f>I40</f>
        <v>&lt;option value='Abasto-Reforma'&gt;Abasto-Reforma&lt;/option&gt;</v>
      </c>
    </row>
    <row r="41" spans="1:10" x14ac:dyDescent="0.25">
      <c r="A41">
        <v>58</v>
      </c>
      <c r="B41" s="5" t="s">
        <v>89</v>
      </c>
      <c r="C41" s="1" t="s">
        <v>98</v>
      </c>
      <c r="D41" s="3">
        <v>4946</v>
      </c>
      <c r="E41" s="1" t="s">
        <v>99</v>
      </c>
      <c r="F41" s="1" t="s">
        <v>265</v>
      </c>
      <c r="H41" t="s">
        <v>188</v>
      </c>
      <c r="I41" t="str">
        <f t="shared" si="0"/>
        <v>&lt;option value='Churubusco'&gt;Churubusco&lt;/option&gt;</v>
      </c>
      <c r="J41" t="str">
        <f>CONCATENATE(J40,CHAR(10),I41)</f>
        <v>&lt;option value='Abasto-Reforma'&gt;Abasto-Reforma&lt;/option&gt;
&lt;option value='Churubusco'&gt;Churubusco&lt;/option&gt;</v>
      </c>
    </row>
    <row r="42" spans="1:10" x14ac:dyDescent="0.25">
      <c r="A42">
        <v>63</v>
      </c>
      <c r="B42" s="5" t="s">
        <v>94</v>
      </c>
      <c r="C42" s="1" t="s">
        <v>98</v>
      </c>
      <c r="D42" s="3">
        <v>4952</v>
      </c>
      <c r="E42" s="1" t="s">
        <v>99</v>
      </c>
      <c r="F42" s="1" t="s">
        <v>270</v>
      </c>
      <c r="H42" t="s">
        <v>193</v>
      </c>
      <c r="I42" t="str">
        <f t="shared" si="0"/>
        <v>&lt;option value='Estrella'&gt;Estrella&lt;/option&gt;</v>
      </c>
      <c r="J42" t="str">
        <f t="shared" ref="J41:J54" si="4">CONCATENATE(J41,CHAR(10),I42)</f>
        <v>&lt;option value='Abasto-Reforma'&gt;Abasto-Reforma&lt;/option&gt;
&lt;option value='Churubusco'&gt;Churubusco&lt;/option&gt;
&lt;option value='Estrella'&gt;Estrella&lt;/option&gt;</v>
      </c>
    </row>
    <row r="43" spans="1:10" x14ac:dyDescent="0.25">
      <c r="A43">
        <v>59</v>
      </c>
      <c r="B43" s="5" t="s">
        <v>90</v>
      </c>
      <c r="C43" s="1" t="s">
        <v>98</v>
      </c>
      <c r="D43" s="3">
        <v>4947</v>
      </c>
      <c r="E43" s="1" t="s">
        <v>99</v>
      </c>
      <c r="F43" s="1" t="s">
        <v>266</v>
      </c>
      <c r="H43" t="s">
        <v>189</v>
      </c>
      <c r="I43" t="str">
        <f t="shared" si="0"/>
        <v>&lt;option value='Granjas'&gt;Granjas&lt;/option&gt;</v>
      </c>
      <c r="J43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</v>
      </c>
    </row>
    <row r="44" spans="1:10" x14ac:dyDescent="0.25">
      <c r="A44">
        <v>67</v>
      </c>
      <c r="B44" s="5" t="s">
        <v>100</v>
      </c>
      <c r="C44" s="1" t="s">
        <v>101</v>
      </c>
      <c r="D44" s="3">
        <v>4965</v>
      </c>
      <c r="E44" s="1" t="s">
        <v>99</v>
      </c>
      <c r="F44" s="1" t="s">
        <v>274</v>
      </c>
      <c r="H44" t="s">
        <v>197</v>
      </c>
      <c r="I44" t="str">
        <f t="shared" si="0"/>
        <v>&lt;option value='La Noria'&gt;La Noria&lt;/option&gt;</v>
      </c>
      <c r="J44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</v>
      </c>
    </row>
    <row r="45" spans="1:10" x14ac:dyDescent="0.25">
      <c r="A45">
        <v>71</v>
      </c>
      <c r="B45" s="5" t="s">
        <v>106</v>
      </c>
      <c r="C45" s="1" t="s">
        <v>108</v>
      </c>
      <c r="D45" s="3">
        <v>4971</v>
      </c>
      <c r="E45" s="1" t="s">
        <v>99</v>
      </c>
      <c r="F45" s="1" t="s">
        <v>278</v>
      </c>
      <c r="H45" t="s">
        <v>201</v>
      </c>
      <c r="I45" t="str">
        <f t="shared" si="0"/>
        <v>&lt;option value='Milpa Alta'&gt;Milpa Alta&lt;/option&gt;</v>
      </c>
      <c r="J45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</v>
      </c>
    </row>
    <row r="46" spans="1:10" x14ac:dyDescent="0.25">
      <c r="A46">
        <v>70</v>
      </c>
      <c r="B46" s="5" t="s">
        <v>104</v>
      </c>
      <c r="C46" s="1" t="s">
        <v>105</v>
      </c>
      <c r="D46" s="3">
        <v>4964</v>
      </c>
      <c r="E46" s="1" t="s">
        <v>99</v>
      </c>
      <c r="F46" s="1" t="s">
        <v>277</v>
      </c>
      <c r="H46" t="s">
        <v>200</v>
      </c>
      <c r="I46" t="str">
        <f t="shared" si="0"/>
        <v>&lt;option value='Mixquic'&gt;Mixquic&lt;/option&gt;</v>
      </c>
      <c r="J46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</v>
      </c>
    </row>
    <row r="47" spans="1:10" x14ac:dyDescent="0.25">
      <c r="A47">
        <v>62</v>
      </c>
      <c r="B47" s="5" t="s">
        <v>93</v>
      </c>
      <c r="C47" s="1" t="s">
        <v>98</v>
      </c>
      <c r="D47" s="3">
        <v>4951</v>
      </c>
      <c r="E47" s="1" t="s">
        <v>99</v>
      </c>
      <c r="F47" s="1" t="s">
        <v>269</v>
      </c>
      <c r="H47" t="s">
        <v>192</v>
      </c>
      <c r="I47" t="str">
        <f t="shared" si="0"/>
        <v>&lt;option value='Oasis'&gt;Oasis&lt;/option&gt;</v>
      </c>
      <c r="J47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</v>
      </c>
    </row>
    <row r="48" spans="1:10" x14ac:dyDescent="0.25">
      <c r="A48">
        <v>65</v>
      </c>
      <c r="B48" s="5" t="s">
        <v>96</v>
      </c>
      <c r="C48" s="1" t="s">
        <v>98</v>
      </c>
      <c r="D48" s="3">
        <v>4997</v>
      </c>
      <c r="E48" s="1" t="s">
        <v>99</v>
      </c>
      <c r="F48" s="1" t="s">
        <v>272</v>
      </c>
      <c r="H48" t="s">
        <v>195</v>
      </c>
      <c r="I48" t="str">
        <f t="shared" si="0"/>
        <v>&lt;option value='Quetzal'&gt;Quetzal&lt;/option&gt;</v>
      </c>
      <c r="J48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</v>
      </c>
    </row>
    <row r="49" spans="1:10" x14ac:dyDescent="0.25">
      <c r="A49">
        <v>61</v>
      </c>
      <c r="B49" s="5" t="s">
        <v>92</v>
      </c>
      <c r="C49" s="1" t="s">
        <v>98</v>
      </c>
      <c r="D49" s="3">
        <v>4950</v>
      </c>
      <c r="E49" s="1" t="s">
        <v>99</v>
      </c>
      <c r="F49" s="1" t="s">
        <v>268</v>
      </c>
      <c r="H49" t="s">
        <v>191</v>
      </c>
      <c r="I49" t="str">
        <f t="shared" si="0"/>
        <v>&lt;option value='Santa Cruz'&gt;Santa Cruz&lt;/option&gt;</v>
      </c>
      <c r="J49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</v>
      </c>
    </row>
    <row r="50" spans="1:10" x14ac:dyDescent="0.25">
      <c r="A50">
        <v>72</v>
      </c>
      <c r="B50" s="5" t="s">
        <v>107</v>
      </c>
      <c r="C50" s="1" t="s">
        <v>108</v>
      </c>
      <c r="D50" s="3">
        <v>4972</v>
      </c>
      <c r="E50" s="1" t="s">
        <v>99</v>
      </c>
      <c r="F50" s="1" t="s">
        <v>279</v>
      </c>
      <c r="H50" t="s">
        <v>202</v>
      </c>
      <c r="I50" t="str">
        <f t="shared" si="0"/>
        <v>&lt;option value='Tecomil'&gt;Tecomil&lt;/option&gt;</v>
      </c>
      <c r="J50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
&lt;option value='Tecomil'&gt;Tecomil&lt;/option&gt;</v>
      </c>
    </row>
    <row r="51" spans="1:10" x14ac:dyDescent="0.25">
      <c r="A51">
        <v>64</v>
      </c>
      <c r="B51" s="5" t="s">
        <v>95</v>
      </c>
      <c r="C51" s="1" t="s">
        <v>98</v>
      </c>
      <c r="D51" s="3">
        <v>4954</v>
      </c>
      <c r="E51" s="1" t="s">
        <v>99</v>
      </c>
      <c r="F51" s="1" t="s">
        <v>271</v>
      </c>
      <c r="H51" t="s">
        <v>194</v>
      </c>
      <c r="I51" t="str">
        <f t="shared" si="0"/>
        <v>&lt;option value='Teotongo'&gt;Teotongo&lt;/option&gt;</v>
      </c>
      <c r="J51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
&lt;option value='Tecomil'&gt;Tecomil&lt;/option&gt;
&lt;option value='Teotongo'&gt;Teotongo&lt;/option&gt;</v>
      </c>
    </row>
    <row r="52" spans="1:10" x14ac:dyDescent="0.25">
      <c r="A52">
        <v>68</v>
      </c>
      <c r="B52" s="5" t="s">
        <v>102</v>
      </c>
      <c r="C52" s="1" t="s">
        <v>101</v>
      </c>
      <c r="D52" s="3">
        <v>4966</v>
      </c>
      <c r="E52" s="1" t="s">
        <v>99</v>
      </c>
      <c r="F52" s="1" t="s">
        <v>275</v>
      </c>
      <c r="H52" t="s">
        <v>198</v>
      </c>
      <c r="I52" t="str">
        <f t="shared" si="0"/>
        <v>&lt;option value='Tepepan'&gt;Tepepan&lt;/option&gt;</v>
      </c>
      <c r="J52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
&lt;option value='Tecomil'&gt;Tecomil&lt;/option&gt;
&lt;option value='Teotongo'&gt;Teotongo&lt;/option&gt;
&lt;option value='Tepepan'&gt;Tepepan&lt;/option&gt;</v>
      </c>
    </row>
    <row r="53" spans="1:10" x14ac:dyDescent="0.25">
      <c r="A53">
        <v>66</v>
      </c>
      <c r="B53" s="5" t="s">
        <v>97</v>
      </c>
      <c r="C53" s="1" t="s">
        <v>98</v>
      </c>
      <c r="D53" s="3">
        <v>4998</v>
      </c>
      <c r="E53" s="1" t="s">
        <v>99</v>
      </c>
      <c r="F53" s="1" t="s">
        <v>273</v>
      </c>
      <c r="H53" t="s">
        <v>196</v>
      </c>
      <c r="I53" t="str">
        <f t="shared" si="0"/>
        <v>&lt;option value='Tezonco'&gt;Tezonco&lt;/option&gt;</v>
      </c>
      <c r="J53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
&lt;option value='Tecomil'&gt;Tecomil&lt;/option&gt;
&lt;option value='Teotongo'&gt;Teotongo&lt;/option&gt;
&lt;option value='Tepepan'&gt;Tepepan&lt;/option&gt;
&lt;option value='Tezonco'&gt;Tezonco&lt;/option&gt;</v>
      </c>
    </row>
    <row r="54" spans="1:10" x14ac:dyDescent="0.25">
      <c r="A54">
        <v>69</v>
      </c>
      <c r="B54" s="5" t="s">
        <v>103</v>
      </c>
      <c r="C54" s="1" t="s">
        <v>105</v>
      </c>
      <c r="D54" s="3">
        <v>4963</v>
      </c>
      <c r="E54" s="1" t="s">
        <v>99</v>
      </c>
      <c r="F54" s="1" t="s">
        <v>276</v>
      </c>
      <c r="H54" t="s">
        <v>199</v>
      </c>
      <c r="I54" t="str">
        <f t="shared" si="0"/>
        <v>&lt;option value='Zapotitla'&gt;Zapotitla&lt;/option&gt;</v>
      </c>
      <c r="J54" t="str">
        <f t="shared" si="4"/>
        <v>&lt;option value='Abasto-Reforma'&gt;Abasto-Reforma&lt;/option&gt;
&lt;option value='Churubusco'&gt;Churubusco&lt;/option&gt;
&lt;option value='Estrella'&gt;Estrella&lt;/option&gt;
&lt;option value='Granjas'&gt;Granjas&lt;/option&gt;
&lt;option value='La Noria'&gt;La Noria&lt;/option&gt;
&lt;option value='Milpa Alta'&gt;Milpa Alta&lt;/option&gt;
&lt;option value='Mixquic'&gt;Mixquic&lt;/option&gt;
&lt;option value='Oasis'&gt;Oasis&lt;/option&gt;
&lt;option value='Quetzal'&gt;Quetzal&lt;/option&gt;
&lt;option value='Santa Cruz'&gt;Santa Cruz&lt;/option&gt;
&lt;option value='Tecomil'&gt;Tecomil&lt;/option&gt;
&lt;option value='Teotongo'&gt;Teotongo&lt;/option&gt;
&lt;option value='Tepepan'&gt;Tepepan&lt;/option&gt;
&lt;option value='Tezonco'&gt;Tezonco&lt;/option&gt;
&lt;option value='Zapotitla'&gt;Zapotitla&lt;/option&gt;</v>
      </c>
    </row>
    <row r="55" spans="1:10" x14ac:dyDescent="0.25">
      <c r="D55" s="3"/>
    </row>
    <row r="56" spans="1:10" x14ac:dyDescent="0.25">
      <c r="A56">
        <v>54</v>
      </c>
      <c r="B56" s="5" t="s">
        <v>85</v>
      </c>
      <c r="C56" s="1" t="s">
        <v>83</v>
      </c>
      <c r="D56" s="3">
        <v>4942</v>
      </c>
      <c r="E56" s="1" t="s">
        <v>75</v>
      </c>
      <c r="F56" s="1" t="s">
        <v>261</v>
      </c>
      <c r="H56" t="s">
        <v>184</v>
      </c>
      <c r="I56" t="str">
        <f t="shared" si="0"/>
        <v>&lt;option value='Alpes'&gt;Alpes&lt;/option&gt;</v>
      </c>
      <c r="J56" t="str">
        <f>I56</f>
        <v>&lt;option value='Alpes'&gt;Alpes&lt;/option&gt;</v>
      </c>
    </row>
    <row r="57" spans="1:10" x14ac:dyDescent="0.25">
      <c r="A57">
        <v>47</v>
      </c>
      <c r="B57" s="5" t="s">
        <v>77</v>
      </c>
      <c r="C57" s="1" t="s">
        <v>76</v>
      </c>
      <c r="D57" s="3">
        <v>4915</v>
      </c>
      <c r="E57" s="1" t="s">
        <v>75</v>
      </c>
      <c r="F57" s="1" t="s">
        <v>254</v>
      </c>
      <c r="H57" t="s">
        <v>177</v>
      </c>
      <c r="I57" t="str">
        <f t="shared" si="0"/>
        <v>&lt;option value='Chapultepec'&gt;Chapultepec&lt;/option&gt;</v>
      </c>
      <c r="J57" t="str">
        <f>CONCATENATE(J56,CHAR(10),I57)</f>
        <v>&lt;option value='Alpes'&gt;Alpes&lt;/option&gt;
&lt;option value='Chapultepec'&gt;Chapultepec&lt;/option&gt;</v>
      </c>
    </row>
    <row r="58" spans="1:10" x14ac:dyDescent="0.25">
      <c r="A58">
        <v>43</v>
      </c>
      <c r="B58" s="5" t="s">
        <v>69</v>
      </c>
      <c r="C58" s="1" t="s">
        <v>73</v>
      </c>
      <c r="D58" s="3">
        <v>4910</v>
      </c>
      <c r="E58" s="1" t="s">
        <v>75</v>
      </c>
      <c r="F58" s="1" t="s">
        <v>250</v>
      </c>
      <c r="H58" t="s">
        <v>173</v>
      </c>
      <c r="I58" t="str">
        <f t="shared" si="0"/>
        <v>&lt;option value='Claveria'&gt;Claveria&lt;/option&gt;</v>
      </c>
      <c r="J58" t="str">
        <f t="shared" ref="J57:J71" si="5">CONCATENATE(J57,CHAR(10),I58)</f>
        <v>&lt;option value='Alpes'&gt;Alpes&lt;/option&gt;
&lt;option value='Chapultepec'&gt;Chapultepec&lt;/option&gt;
&lt;option value='Claveria'&gt;Claveria&lt;/option&gt;</v>
      </c>
    </row>
    <row r="59" spans="1:10" x14ac:dyDescent="0.25">
      <c r="A59">
        <v>56</v>
      </c>
      <c r="B59" s="5" t="s">
        <v>87</v>
      </c>
      <c r="C59" s="1" t="s">
        <v>83</v>
      </c>
      <c r="D59" s="3">
        <v>4944</v>
      </c>
      <c r="E59" s="1" t="s">
        <v>75</v>
      </c>
      <c r="F59" s="1" t="s">
        <v>263</v>
      </c>
      <c r="H59" t="s">
        <v>186</v>
      </c>
      <c r="I59" t="str">
        <f t="shared" si="0"/>
        <v>&lt;option value='Cuajimalpa'&gt;Cuajimalpa&lt;/option&gt;</v>
      </c>
      <c r="J59" t="str">
        <f t="shared" si="5"/>
        <v>&lt;option value='Alpes'&gt;Alpes&lt;/option&gt;
&lt;option value='Chapultepec'&gt;Chapultepec&lt;/option&gt;
&lt;option value='Claveria'&gt;Claveria&lt;/option&gt;
&lt;option value='Cuajimalpa'&gt;Cuajimalpa&lt;/option&gt;</v>
      </c>
    </row>
    <row r="60" spans="1:10" x14ac:dyDescent="0.25">
      <c r="A60">
        <v>44</v>
      </c>
      <c r="B60" s="5" t="s">
        <v>70</v>
      </c>
      <c r="C60" s="1" t="s">
        <v>73</v>
      </c>
      <c r="D60" s="3">
        <v>4911</v>
      </c>
      <c r="E60" s="1" t="s">
        <v>75</v>
      </c>
      <c r="F60" s="1" t="s">
        <v>251</v>
      </c>
      <c r="H60" t="s">
        <v>174</v>
      </c>
      <c r="I60" t="str">
        <f t="shared" si="0"/>
        <v>&lt;option value='Cuitlahuac'&gt;Cuitlahuac&lt;/option&gt;</v>
      </c>
      <c r="J60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</v>
      </c>
    </row>
    <row r="61" spans="1:10" x14ac:dyDescent="0.25">
      <c r="A61">
        <v>57</v>
      </c>
      <c r="B61" s="5" t="s">
        <v>88</v>
      </c>
      <c r="C61" s="1" t="s">
        <v>83</v>
      </c>
      <c r="D61" s="3">
        <v>4945</v>
      </c>
      <c r="E61" s="1" t="s">
        <v>75</v>
      </c>
      <c r="F61" s="1" t="s">
        <v>264</v>
      </c>
      <c r="H61" t="s">
        <v>187</v>
      </c>
      <c r="I61" t="str">
        <f t="shared" si="0"/>
        <v>&lt;option value='El Yaqui'&gt;El Yaqui&lt;/option&gt;</v>
      </c>
      <c r="J61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</v>
      </c>
    </row>
    <row r="62" spans="1:10" x14ac:dyDescent="0.25">
      <c r="A62">
        <v>49</v>
      </c>
      <c r="B62" s="5" t="s">
        <v>79</v>
      </c>
      <c r="C62" s="1" t="s">
        <v>76</v>
      </c>
      <c r="D62" s="3">
        <v>4974</v>
      </c>
      <c r="E62" s="1" t="s">
        <v>75</v>
      </c>
      <c r="F62" s="1" t="s">
        <v>256</v>
      </c>
      <c r="H62" t="s">
        <v>179</v>
      </c>
      <c r="I62" t="str">
        <f t="shared" si="0"/>
        <v>&lt;option value='Embajadas'&gt;Embajadas&lt;/option&gt;</v>
      </c>
      <c r="J62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</v>
      </c>
    </row>
    <row r="63" spans="1:10" x14ac:dyDescent="0.25">
      <c r="A63">
        <v>42</v>
      </c>
      <c r="B63" s="5" t="s">
        <v>68</v>
      </c>
      <c r="C63" s="1" t="s">
        <v>73</v>
      </c>
      <c r="D63" s="4">
        <v>4909</v>
      </c>
      <c r="E63" s="1" t="s">
        <v>75</v>
      </c>
      <c r="F63" s="1" t="s">
        <v>74</v>
      </c>
      <c r="H63" t="s">
        <v>172</v>
      </c>
      <c r="I63" t="str">
        <f t="shared" si="0"/>
        <v>&lt;option value='Hormiga'&gt;Hormiga&lt;/option&gt;</v>
      </c>
      <c r="J63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</v>
      </c>
    </row>
    <row r="64" spans="1:10" x14ac:dyDescent="0.25">
      <c r="A64">
        <v>45</v>
      </c>
      <c r="B64" s="5" t="s">
        <v>71</v>
      </c>
      <c r="C64" s="1" t="s">
        <v>73</v>
      </c>
      <c r="D64" s="3">
        <v>4912</v>
      </c>
      <c r="E64" s="1" t="s">
        <v>75</v>
      </c>
      <c r="F64" s="1" t="s">
        <v>252</v>
      </c>
      <c r="H64" t="s">
        <v>175</v>
      </c>
      <c r="I64" t="str">
        <f t="shared" si="0"/>
        <v>&lt;option value='La Raza'&gt;La Raza&lt;/option&gt;</v>
      </c>
      <c r="J64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</v>
      </c>
    </row>
    <row r="65" spans="1:10" x14ac:dyDescent="0.25">
      <c r="A65">
        <v>52</v>
      </c>
      <c r="B65" s="5" t="s">
        <v>82</v>
      </c>
      <c r="C65" s="1" t="s">
        <v>83</v>
      </c>
      <c r="D65" s="3">
        <v>4940</v>
      </c>
      <c r="E65" s="1" t="s">
        <v>75</v>
      </c>
      <c r="F65" s="1" t="s">
        <v>259</v>
      </c>
      <c r="H65" t="s">
        <v>182</v>
      </c>
      <c r="I65" t="str">
        <f t="shared" si="0"/>
        <v>&lt;option value='Plateros'&gt;Plateros&lt;/option&gt;</v>
      </c>
      <c r="J65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</v>
      </c>
    </row>
    <row r="66" spans="1:10" x14ac:dyDescent="0.25">
      <c r="A66">
        <v>48</v>
      </c>
      <c r="B66" s="5" t="s">
        <v>78</v>
      </c>
      <c r="C66" s="1" t="s">
        <v>76</v>
      </c>
      <c r="D66" s="3">
        <v>4916</v>
      </c>
      <c r="E66" s="1" t="s">
        <v>75</v>
      </c>
      <c r="F66" s="1" t="s">
        <v>255</v>
      </c>
      <c r="H66" t="s">
        <v>178</v>
      </c>
      <c r="I66" t="str">
        <f t="shared" si="0"/>
        <v>&lt;option value='Polanco'&gt;Polanco&lt;/option&gt;</v>
      </c>
      <c r="J66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</v>
      </c>
    </row>
    <row r="67" spans="1:10" x14ac:dyDescent="0.25">
      <c r="A67">
        <v>55</v>
      </c>
      <c r="B67" s="5" t="s">
        <v>86</v>
      </c>
      <c r="C67" s="1" t="s">
        <v>83</v>
      </c>
      <c r="D67" s="3">
        <v>4943</v>
      </c>
      <c r="E67" s="1" t="s">
        <v>75</v>
      </c>
      <c r="F67" s="1" t="s">
        <v>262</v>
      </c>
      <c r="H67" t="s">
        <v>185</v>
      </c>
      <c r="I67" t="str">
        <f t="shared" ref="I67:I71" si="6">CONCATENATE("&lt;option value='",H67,"'&gt;",H67,"&lt;/option&gt;")</f>
        <v>&lt;option value='San Angel'&gt;San Angel&lt;/option&gt;</v>
      </c>
      <c r="J67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
&lt;option value='San Angel'&gt;San Angel&lt;/option&gt;</v>
      </c>
    </row>
    <row r="68" spans="1:10" x14ac:dyDescent="0.25">
      <c r="A68">
        <v>53</v>
      </c>
      <c r="B68" s="5" t="s">
        <v>84</v>
      </c>
      <c r="C68" s="1" t="s">
        <v>83</v>
      </c>
      <c r="D68" s="3">
        <v>4941</v>
      </c>
      <c r="E68" s="1" t="s">
        <v>75</v>
      </c>
      <c r="F68" s="1" t="s">
        <v>260</v>
      </c>
      <c r="H68" t="s">
        <v>183</v>
      </c>
      <c r="I68" t="str">
        <f t="shared" si="6"/>
        <v>&lt;option value='Santa Fe'&gt;Santa Fe&lt;/option&gt;</v>
      </c>
      <c r="J68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
&lt;option value='San Angel'&gt;San Angel&lt;/option&gt;
&lt;option value='Santa Fe'&gt;Santa Fe&lt;/option&gt;</v>
      </c>
    </row>
    <row r="69" spans="1:10" x14ac:dyDescent="0.25">
      <c r="A69">
        <v>46</v>
      </c>
      <c r="B69" s="5" t="s">
        <v>72</v>
      </c>
      <c r="C69" s="1" t="s">
        <v>76</v>
      </c>
      <c r="D69" s="3">
        <v>4914</v>
      </c>
      <c r="E69" s="1" t="s">
        <v>75</v>
      </c>
      <c r="F69" s="1" t="s">
        <v>253</v>
      </c>
      <c r="H69" t="s">
        <v>176</v>
      </c>
      <c r="I69" t="str">
        <f t="shared" si="6"/>
        <v>&lt;option value='Sotelo'&gt;Sotelo&lt;/option&gt;</v>
      </c>
      <c r="J69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
&lt;option value='San Angel'&gt;San Angel&lt;/option&gt;
&lt;option value='Santa Fe'&gt;Santa Fe&lt;/option&gt;
&lt;option value='Sotelo'&gt;Sotelo&lt;/option&gt;</v>
      </c>
    </row>
    <row r="70" spans="1:10" x14ac:dyDescent="0.25">
      <c r="A70">
        <v>50</v>
      </c>
      <c r="B70" s="5" t="s">
        <v>80</v>
      </c>
      <c r="C70" s="1" t="s">
        <v>76</v>
      </c>
      <c r="D70" s="3">
        <v>4992</v>
      </c>
      <c r="E70" s="1" t="s">
        <v>75</v>
      </c>
      <c r="F70" s="1" t="s">
        <v>257</v>
      </c>
      <c r="H70" t="s">
        <v>180</v>
      </c>
      <c r="I70" t="str">
        <f t="shared" si="6"/>
        <v>&lt;option value='Tacuba'&gt;Tacuba&lt;/option&gt;</v>
      </c>
      <c r="J70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
&lt;option value='San Angel'&gt;San Angel&lt;/option&gt;
&lt;option value='Santa Fe'&gt;Santa Fe&lt;/option&gt;
&lt;option value='Sotelo'&gt;Sotelo&lt;/option&gt;
&lt;option value='Tacuba'&gt;Tacuba&lt;/option&gt;</v>
      </c>
    </row>
    <row r="71" spans="1:10" x14ac:dyDescent="0.25">
      <c r="A71">
        <v>51</v>
      </c>
      <c r="B71" s="5" t="s">
        <v>81</v>
      </c>
      <c r="C71" s="1" t="s">
        <v>76</v>
      </c>
      <c r="D71" s="3">
        <v>4996</v>
      </c>
      <c r="E71" s="1" t="s">
        <v>75</v>
      </c>
      <c r="F71" s="1" t="s">
        <v>258</v>
      </c>
      <c r="H71" t="s">
        <v>181</v>
      </c>
      <c r="I71" t="str">
        <f t="shared" si="6"/>
        <v>&lt;option value='Tacubaya'&gt;Tacubaya&lt;/option&gt;</v>
      </c>
      <c r="J71" t="str">
        <f t="shared" si="5"/>
        <v>&lt;option value='Alpes'&gt;Alpes&lt;/option&gt;
&lt;option value='Chapultepec'&gt;Chapultepec&lt;/option&gt;
&lt;option value='Claveria'&gt;Claveria&lt;/option&gt;
&lt;option value='Cuajimalpa'&gt;Cuajimalpa&lt;/option&gt;
&lt;option value='Cuitlahuac'&gt;Cuitlahuac&lt;/option&gt;
&lt;option value='El Yaqui'&gt;El Yaqui&lt;/option&gt;
&lt;option value='Embajadas'&gt;Embajadas&lt;/option&gt;
&lt;option value='Hormiga'&gt;Hormiga&lt;/option&gt;
&lt;option value='La Raza'&gt;La Raza&lt;/option&gt;
&lt;option value='Plateros'&gt;Plateros&lt;/option&gt;
&lt;option value='Polanco'&gt;Polanco&lt;/option&gt;
&lt;option value='San Angel'&gt;San Angel&lt;/option&gt;
&lt;option value='Santa Fe'&gt;Santa Fe&lt;/option&gt;
&lt;option value='Sotelo'&gt;Sotelo&lt;/option&gt;
&lt;option value='Tacuba'&gt;Tacuba&lt;/option&gt;
&lt;option value='Tacubaya'&gt;Tacubaya&lt;/option&gt;</v>
      </c>
    </row>
    <row r="72" spans="1:10" x14ac:dyDescent="0.25">
      <c r="D72" s="3"/>
      <c r="J72" s="9"/>
    </row>
    <row r="73" spans="1:10" x14ac:dyDescent="0.25">
      <c r="A73">
        <v>27</v>
      </c>
      <c r="B73" s="5" t="s">
        <v>49</v>
      </c>
      <c r="C73" s="1" t="s">
        <v>51</v>
      </c>
      <c r="D73" s="3">
        <v>4970</v>
      </c>
      <c r="E73" s="1" t="s">
        <v>43</v>
      </c>
      <c r="F73" s="1" t="s">
        <v>235</v>
      </c>
      <c r="H73" t="s">
        <v>157</v>
      </c>
      <c r="I73" t="str">
        <f t="shared" ref="I73:I88" si="7">CONCATENATE("&lt;option value='",H73,"'&gt;",H73,"&lt;/option&gt;")</f>
        <v>&lt;option value='Coapa'&gt;Coapa&lt;/option&gt;</v>
      </c>
      <c r="J73" t="str">
        <f>I73</f>
        <v>&lt;option value='Coapa'&gt;Coapa&lt;/option&gt;</v>
      </c>
    </row>
    <row r="74" spans="1:10" x14ac:dyDescent="0.25">
      <c r="A74">
        <v>19</v>
      </c>
      <c r="B74" s="5" t="s">
        <v>38</v>
      </c>
      <c r="C74" s="1" t="s">
        <v>42</v>
      </c>
      <c r="D74" s="3">
        <v>4957</v>
      </c>
      <c r="E74" s="1" t="s">
        <v>43</v>
      </c>
      <c r="F74" s="1" t="s">
        <v>227</v>
      </c>
      <c r="H74" t="s">
        <v>149</v>
      </c>
      <c r="I74" t="str">
        <f t="shared" si="7"/>
        <v>&lt;option value='Coyoacan'&gt;Coyoacan&lt;/option&gt;</v>
      </c>
      <c r="J74" t="str">
        <f>CONCATENATE(J73,CHAR(10),I74)</f>
        <v>&lt;option value='Coapa'&gt;Coapa&lt;/option&gt;
&lt;option value='Coyoacan'&gt;Coyoacan&lt;/option&gt;</v>
      </c>
    </row>
    <row r="75" spans="1:10" x14ac:dyDescent="0.25">
      <c r="A75">
        <v>22</v>
      </c>
      <c r="B75" s="5" t="s">
        <v>41</v>
      </c>
      <c r="C75" s="1" t="s">
        <v>42</v>
      </c>
      <c r="D75" s="3">
        <v>4960</v>
      </c>
      <c r="E75" s="1" t="s">
        <v>43</v>
      </c>
      <c r="F75" s="1" t="s">
        <v>230</v>
      </c>
      <c r="H75" t="s">
        <v>152</v>
      </c>
      <c r="I75" t="str">
        <f t="shared" si="7"/>
        <v>&lt;option value='Culhuacan'&gt;Culhuacan&lt;/option&gt;</v>
      </c>
      <c r="J75" t="str">
        <f t="shared" ref="J74:J88" si="8">CONCATENATE(J74,CHAR(10),I75)</f>
        <v>&lt;option value='Coapa'&gt;Coapa&lt;/option&gt;
&lt;option value='Coyoacan'&gt;Coyoacan&lt;/option&gt;
&lt;option value='Culhuacan'&gt;Culhuacan&lt;/option&gt;</v>
      </c>
    </row>
    <row r="76" spans="1:10" x14ac:dyDescent="0.25">
      <c r="A76">
        <v>30</v>
      </c>
      <c r="B76" s="5" t="s">
        <v>53</v>
      </c>
      <c r="C76" s="1" t="s">
        <v>57</v>
      </c>
      <c r="D76" s="3">
        <v>4936</v>
      </c>
      <c r="E76" s="1" t="s">
        <v>43</v>
      </c>
      <c r="F76" s="1" t="s">
        <v>238</v>
      </c>
      <c r="H76" t="s">
        <v>160</v>
      </c>
      <c r="I76" t="str">
        <f t="shared" si="7"/>
        <v>&lt;option value='Del Valle'&gt;Del Valle&lt;/option&gt;</v>
      </c>
      <c r="J76" t="str">
        <f t="shared" si="8"/>
        <v>&lt;option value='Coapa'&gt;Coapa&lt;/option&gt;
&lt;option value='Coyoacan'&gt;Coyoacan&lt;/option&gt;
&lt;option value='Culhuacan'&gt;Culhuacan&lt;/option&gt;
&lt;option value='Del Valle'&gt;Del Valle&lt;/option&gt;</v>
      </c>
    </row>
    <row r="77" spans="1:10" x14ac:dyDescent="0.25">
      <c r="A77">
        <v>24</v>
      </c>
      <c r="B77" s="5" t="s">
        <v>46</v>
      </c>
      <c r="C77" s="1" t="s">
        <v>45</v>
      </c>
      <c r="D77" s="3">
        <v>4962</v>
      </c>
      <c r="E77" s="1" t="s">
        <v>43</v>
      </c>
      <c r="F77" s="1" t="s">
        <v>232</v>
      </c>
      <c r="H77" t="s">
        <v>154</v>
      </c>
      <c r="I77" t="str">
        <f t="shared" si="7"/>
        <v>&lt;option value='Dinamo'&gt;Dinamo&lt;/option&gt;</v>
      </c>
      <c r="J77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</v>
      </c>
    </row>
    <row r="78" spans="1:10" x14ac:dyDescent="0.25">
      <c r="A78">
        <v>25</v>
      </c>
      <c r="B78" s="5" t="s">
        <v>47</v>
      </c>
      <c r="C78" s="1" t="s">
        <v>51</v>
      </c>
      <c r="D78" s="3">
        <v>4968</v>
      </c>
      <c r="E78" s="1" t="s">
        <v>43</v>
      </c>
      <c r="F78" s="1" t="s">
        <v>233</v>
      </c>
      <c r="H78" t="s">
        <v>155</v>
      </c>
      <c r="I78" t="str">
        <f t="shared" si="7"/>
        <v>&lt;option value='Fuente'&gt;Fuente&lt;/option&gt;</v>
      </c>
      <c r="J78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</v>
      </c>
    </row>
    <row r="79" spans="1:10" x14ac:dyDescent="0.25">
      <c r="A79">
        <v>28</v>
      </c>
      <c r="B79" s="5" t="s">
        <v>50</v>
      </c>
      <c r="C79" s="1" t="s">
        <v>51</v>
      </c>
      <c r="D79" s="3">
        <v>4991</v>
      </c>
      <c r="E79" s="1" t="s">
        <v>43</v>
      </c>
      <c r="F79" s="1" t="s">
        <v>236</v>
      </c>
      <c r="H79" t="s">
        <v>158</v>
      </c>
      <c r="I79" t="str">
        <f t="shared" si="7"/>
        <v>&lt;option value='Huipulco-Hospitales'&gt;Huipulco-Hospitales&lt;/option&gt;</v>
      </c>
      <c r="J79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</v>
      </c>
    </row>
    <row r="80" spans="1:10" x14ac:dyDescent="0.25">
      <c r="A80">
        <v>29</v>
      </c>
      <c r="B80" s="5" t="s">
        <v>52</v>
      </c>
      <c r="C80" s="1" t="s">
        <v>57</v>
      </c>
      <c r="D80" s="3">
        <v>4935</v>
      </c>
      <c r="E80" s="1" t="s">
        <v>43</v>
      </c>
      <c r="F80" s="1" t="s">
        <v>237</v>
      </c>
      <c r="H80" t="s">
        <v>159</v>
      </c>
      <c r="I80" t="str">
        <f t="shared" si="7"/>
        <v>&lt;option value='Napoles'&gt;Napoles&lt;/option&gt;</v>
      </c>
      <c r="J80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</v>
      </c>
    </row>
    <row r="81" spans="1:10" x14ac:dyDescent="0.25">
      <c r="A81">
        <v>31</v>
      </c>
      <c r="B81" s="5" t="s">
        <v>54</v>
      </c>
      <c r="C81" s="1" t="s">
        <v>57</v>
      </c>
      <c r="D81" s="3">
        <v>4937</v>
      </c>
      <c r="E81" s="1" t="s">
        <v>43</v>
      </c>
      <c r="F81" s="1" t="s">
        <v>239</v>
      </c>
      <c r="H81" t="s">
        <v>161</v>
      </c>
      <c r="I81" t="str">
        <f t="shared" si="7"/>
        <v>&lt;option value='Narvarte-Alamos'&gt;Narvarte-Alamos&lt;/option&gt;</v>
      </c>
      <c r="J81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</v>
      </c>
    </row>
    <row r="82" spans="1:10" x14ac:dyDescent="0.25">
      <c r="A82">
        <v>33</v>
      </c>
      <c r="B82" s="5" t="s">
        <v>56</v>
      </c>
      <c r="C82" s="1" t="s">
        <v>57</v>
      </c>
      <c r="D82" s="3">
        <v>4939</v>
      </c>
      <c r="E82" s="1" t="s">
        <v>43</v>
      </c>
      <c r="F82" s="1" t="s">
        <v>241</v>
      </c>
      <c r="H82" t="s">
        <v>163</v>
      </c>
      <c r="I82" t="str">
        <f t="shared" si="7"/>
        <v>&lt;option value='Nativitas'&gt;Nativitas&lt;/option&gt;</v>
      </c>
      <c r="J82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</v>
      </c>
    </row>
    <row r="83" spans="1:10" x14ac:dyDescent="0.25">
      <c r="A83">
        <v>26</v>
      </c>
      <c r="B83" s="5" t="s">
        <v>48</v>
      </c>
      <c r="C83" s="1" t="s">
        <v>51</v>
      </c>
      <c r="D83" s="3">
        <v>4967</v>
      </c>
      <c r="E83" s="1" t="s">
        <v>43</v>
      </c>
      <c r="F83" s="1" t="s">
        <v>234</v>
      </c>
      <c r="H83" t="s">
        <v>156</v>
      </c>
      <c r="I83" t="str">
        <f t="shared" si="7"/>
        <v>&lt;option value='Padierna'&gt;Padierna&lt;/option&gt;</v>
      </c>
      <c r="J83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</v>
      </c>
    </row>
    <row r="84" spans="1:10" x14ac:dyDescent="0.25">
      <c r="A84">
        <v>32</v>
      </c>
      <c r="B84" s="5" t="s">
        <v>55</v>
      </c>
      <c r="C84" s="1" t="s">
        <v>57</v>
      </c>
      <c r="D84" s="3">
        <v>4938</v>
      </c>
      <c r="E84" s="1" t="s">
        <v>43</v>
      </c>
      <c r="F84" s="1" t="s">
        <v>240</v>
      </c>
      <c r="H84" t="s">
        <v>162</v>
      </c>
      <c r="I84" t="str">
        <f t="shared" si="7"/>
        <v>&lt;option value='Portales'&gt;Portales&lt;/option&gt;</v>
      </c>
      <c r="J84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
&lt;option value='Portales'&gt;Portales&lt;/option&gt;</v>
      </c>
    </row>
    <row r="85" spans="1:10" x14ac:dyDescent="0.25">
      <c r="A85">
        <v>23</v>
      </c>
      <c r="B85" s="5" t="s">
        <v>44</v>
      </c>
      <c r="C85" s="1" t="s">
        <v>45</v>
      </c>
      <c r="D85" s="3">
        <v>4961</v>
      </c>
      <c r="E85" s="1" t="s">
        <v>43</v>
      </c>
      <c r="F85" s="1" t="s">
        <v>231</v>
      </c>
      <c r="H85" t="s">
        <v>153</v>
      </c>
      <c r="I85" t="str">
        <f t="shared" si="7"/>
        <v>&lt;option value='San Jeronimo'&gt;San Jeronimo&lt;/option&gt;</v>
      </c>
      <c r="J85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
&lt;option value='Portales'&gt;Portales&lt;/option&gt;
&lt;option value='San Jeronimo'&gt;San Jeronimo&lt;/option&gt;</v>
      </c>
    </row>
    <row r="86" spans="1:10" x14ac:dyDescent="0.25">
      <c r="A86">
        <v>20</v>
      </c>
      <c r="B86" s="5" t="s">
        <v>39</v>
      </c>
      <c r="C86" s="1" t="s">
        <v>42</v>
      </c>
      <c r="D86" s="3">
        <v>4958</v>
      </c>
      <c r="E86" s="1" t="s">
        <v>43</v>
      </c>
      <c r="F86" s="1" t="s">
        <v>228</v>
      </c>
      <c r="H86" t="s">
        <v>150</v>
      </c>
      <c r="I86" t="str">
        <f t="shared" si="7"/>
        <v>&lt;option value='Taxqueña'&gt;Taxqueña&lt;/option&gt;</v>
      </c>
      <c r="J86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
&lt;option value='Portales'&gt;Portales&lt;/option&gt;
&lt;option value='San Jeronimo'&gt;San Jeronimo&lt;/option&gt;
&lt;option value='Taxqueña'&gt;Taxqueña&lt;/option&gt;</v>
      </c>
    </row>
    <row r="87" spans="1:10" x14ac:dyDescent="0.25">
      <c r="A87">
        <v>18</v>
      </c>
      <c r="B87" s="5" t="s">
        <v>37</v>
      </c>
      <c r="C87" s="1" t="s">
        <v>42</v>
      </c>
      <c r="D87" s="3">
        <v>4956</v>
      </c>
      <c r="E87" s="1" t="s">
        <v>43</v>
      </c>
      <c r="F87" s="1" t="s">
        <v>226</v>
      </c>
      <c r="H87" t="s">
        <v>148</v>
      </c>
      <c r="I87" t="str">
        <f t="shared" si="7"/>
        <v>&lt;option value='Universidad'&gt;Universidad&lt;/option&gt;</v>
      </c>
      <c r="J87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
&lt;option value='Portales'&gt;Portales&lt;/option&gt;
&lt;option value='San Jeronimo'&gt;San Jeronimo&lt;/option&gt;
&lt;option value='Taxqueña'&gt;Taxqueña&lt;/option&gt;
&lt;option value='Universidad'&gt;Universidad&lt;/option&gt;</v>
      </c>
    </row>
    <row r="88" spans="1:10" x14ac:dyDescent="0.25">
      <c r="A88">
        <v>21</v>
      </c>
      <c r="B88" s="5" t="s">
        <v>40</v>
      </c>
      <c r="C88" s="1" t="s">
        <v>42</v>
      </c>
      <c r="D88" s="3">
        <v>4959</v>
      </c>
      <c r="E88" s="1" t="s">
        <v>43</v>
      </c>
      <c r="F88" s="1" t="s">
        <v>229</v>
      </c>
      <c r="H88" t="s">
        <v>151</v>
      </c>
      <c r="I88" t="str">
        <f t="shared" si="7"/>
        <v>&lt;option value='Xotepingo'&gt;Xotepingo&lt;/option&gt;</v>
      </c>
      <c r="J88" t="str">
        <f t="shared" si="8"/>
        <v>&lt;option value='Coapa'&gt;Coapa&lt;/option&gt;
&lt;option value='Coyoacan'&gt;Coyoacan&lt;/option&gt;
&lt;option value='Culhuacan'&gt;Culhuacan&lt;/option&gt;
&lt;option value='Del Valle'&gt;Del Valle&lt;/option&gt;
&lt;option value='Dinamo'&gt;Dinamo&lt;/option&gt;
&lt;option value='Fuente'&gt;Fuente&lt;/option&gt;
&lt;option value='Huipulco-Hospitales'&gt;Huipulco-Hospitales&lt;/option&gt;
&lt;option value='Napoles'&gt;Napoles&lt;/option&gt;
&lt;option value='Narvarte-Alamos'&gt;Narvarte-Alamos&lt;/option&gt;
&lt;option value='Nativitas'&gt;Nativitas&lt;/option&gt;
&lt;option value='Padierna'&gt;Padierna&lt;/option&gt;
&lt;option value='Portales'&gt;Portales&lt;/option&gt;
&lt;option value='San Jeronimo'&gt;San Jeronimo&lt;/option&gt;
&lt;option value='Taxqueña'&gt;Taxqueña&lt;/option&gt;
&lt;option value='Universidad'&gt;Universidad&lt;/option&gt;
&lt;option value='Xotepingo'&gt;Xotepingo&lt;/option&gt;</v>
      </c>
    </row>
    <row r="89" spans="1:10" x14ac:dyDescent="0.25">
      <c r="D89" s="3"/>
      <c r="J89" s="9"/>
    </row>
    <row r="90" spans="1:10" x14ac:dyDescent="0.25">
      <c r="A90">
        <v>73</v>
      </c>
      <c r="B90" s="5" t="s">
        <v>114</v>
      </c>
      <c r="D90" s="1">
        <v>4631</v>
      </c>
      <c r="E90" s="1" t="s">
        <v>114</v>
      </c>
      <c r="F90" s="1" t="s">
        <v>221</v>
      </c>
      <c r="H90" t="s">
        <v>203</v>
      </c>
      <c r="I90" t="str">
        <f t="shared" ref="I90:I97" si="9">CONCATENATE("&lt;option value='",H90,"'&gt;",H90,"&lt;/option&gt;")</f>
        <v>&lt;option value='Zona Vial 1'&gt;Zona Vial 1&lt;/option&gt;</v>
      </c>
      <c r="J90" t="str">
        <f>I90</f>
        <v>&lt;option value='Zona Vial 1'&gt;Zona Vial 1&lt;/option&gt;</v>
      </c>
    </row>
    <row r="91" spans="1:10" x14ac:dyDescent="0.25">
      <c r="A91">
        <v>74</v>
      </c>
      <c r="B91" s="5" t="s">
        <v>115</v>
      </c>
      <c r="D91" s="1">
        <v>4632</v>
      </c>
      <c r="E91" s="1" t="s">
        <v>115</v>
      </c>
      <c r="F91" s="1" t="s">
        <v>223</v>
      </c>
      <c r="H91" t="s">
        <v>204</v>
      </c>
      <c r="I91" t="str">
        <f t="shared" si="9"/>
        <v>&lt;option value='Zona Vial 2'&gt;Zona Vial 2&lt;/option&gt;</v>
      </c>
      <c r="J91" t="str">
        <f>CONCATENATE(J90,CHAR(10),I91)</f>
        <v>&lt;option value='Zona Vial 1'&gt;Zona Vial 1&lt;/option&gt;
&lt;option value='Zona Vial 2'&gt;Zona Vial 2&lt;/option&gt;</v>
      </c>
    </row>
    <row r="92" spans="1:10" x14ac:dyDescent="0.25">
      <c r="A92">
        <v>75</v>
      </c>
      <c r="B92" s="5" t="s">
        <v>116</v>
      </c>
      <c r="D92" s="1">
        <v>4633</v>
      </c>
      <c r="E92" s="1" t="s">
        <v>116</v>
      </c>
      <c r="F92" s="1" t="s">
        <v>224</v>
      </c>
      <c r="H92" t="s">
        <v>205</v>
      </c>
      <c r="I92" t="str">
        <f t="shared" si="9"/>
        <v>&lt;option value='Zona Vial 3'&gt;Zona Vial 3&lt;/option&gt;</v>
      </c>
      <c r="J92" t="str">
        <f t="shared" ref="J91:J97" si="10">CONCATENATE(J91,CHAR(10),I92)</f>
        <v>&lt;option value='Zona Vial 1'&gt;Zona Vial 1&lt;/option&gt;
&lt;option value='Zona Vial 2'&gt;Zona Vial 2&lt;/option&gt;
&lt;option value='Zona Vial 3'&gt;Zona Vial 3&lt;/option&gt;</v>
      </c>
    </row>
    <row r="93" spans="1:10" x14ac:dyDescent="0.25">
      <c r="A93">
        <v>76</v>
      </c>
      <c r="B93" s="5" t="s">
        <v>117</v>
      </c>
      <c r="D93" s="1">
        <v>4634</v>
      </c>
      <c r="E93" s="1" t="s">
        <v>117</v>
      </c>
      <c r="F93" s="1" t="s">
        <v>225</v>
      </c>
      <c r="H93" t="s">
        <v>206</v>
      </c>
      <c r="I93" t="str">
        <f t="shared" si="9"/>
        <v>&lt;option value='Zona Vial 4'&gt;Zona Vial 4&lt;/option&gt;</v>
      </c>
      <c r="J93" t="str">
        <f t="shared" si="10"/>
        <v>&lt;option value='Zona Vial 1'&gt;Zona Vial 1&lt;/option&gt;
&lt;option value='Zona Vial 2'&gt;Zona Vial 2&lt;/option&gt;
&lt;option value='Zona Vial 3'&gt;Zona Vial 3&lt;/option&gt;
&lt;option value='Zona Vial 4'&gt;Zona Vial 4&lt;/option&gt;</v>
      </c>
    </row>
    <row r="94" spans="1:10" x14ac:dyDescent="0.25">
      <c r="A94">
        <v>77</v>
      </c>
      <c r="B94" s="5" t="s">
        <v>118</v>
      </c>
      <c r="D94" s="1">
        <v>4635</v>
      </c>
      <c r="E94" s="1" t="s">
        <v>118</v>
      </c>
      <c r="F94" s="1" t="s">
        <v>237</v>
      </c>
      <c r="H94" t="s">
        <v>207</v>
      </c>
      <c r="I94" t="str">
        <f t="shared" si="9"/>
        <v>&lt;option value='Zona Vial 5'&gt;Zona Vial 5&lt;/option&gt;</v>
      </c>
      <c r="J94" t="str">
        <f t="shared" si="10"/>
        <v>&lt;option value='Zona Vial 1'&gt;Zona Vial 1&lt;/option&gt;
&lt;option value='Zona Vial 2'&gt;Zona Vial 2&lt;/option&gt;
&lt;option value='Zona Vial 3'&gt;Zona Vial 3&lt;/option&gt;
&lt;option value='Zona Vial 4'&gt;Zona Vial 4&lt;/option&gt;
&lt;option value='Zona Vial 5'&gt;Zona Vial 5&lt;/option&gt;</v>
      </c>
    </row>
    <row r="95" spans="1:10" x14ac:dyDescent="0.25">
      <c r="A95">
        <v>78</v>
      </c>
      <c r="B95" s="5" t="s">
        <v>122</v>
      </c>
      <c r="D95" s="1">
        <v>4636</v>
      </c>
      <c r="E95" s="1" t="s">
        <v>119</v>
      </c>
      <c r="F95" s="1" t="s">
        <v>238</v>
      </c>
      <c r="H95" t="s">
        <v>208</v>
      </c>
      <c r="I95" t="str">
        <f t="shared" si="9"/>
        <v>&lt;option value='Zona Vial 6 Disp. Mov.'&gt;Zona Vial 6 Disp. Mov.&lt;/option&gt;</v>
      </c>
      <c r="J95" t="str">
        <f t="shared" si="10"/>
        <v>&lt;option value='Zona Vial 1'&gt;Zona Vial 1&lt;/option&gt;
&lt;option value='Zona Vial 2'&gt;Zona Vial 2&lt;/option&gt;
&lt;option value='Zona Vial 3'&gt;Zona Vial 3&lt;/option&gt;
&lt;option value='Zona Vial 4'&gt;Zona Vial 4&lt;/option&gt;
&lt;option value='Zona Vial 5'&gt;Zona Vial 5&lt;/option&gt;
&lt;option value='Zona Vial 6 Disp. Mov.'&gt;Zona Vial 6 Disp. Mov.&lt;/option&gt;</v>
      </c>
    </row>
    <row r="96" spans="1:10" x14ac:dyDescent="0.25">
      <c r="A96">
        <v>79</v>
      </c>
      <c r="B96" s="5" t="s">
        <v>123</v>
      </c>
      <c r="D96" s="1">
        <v>4637</v>
      </c>
      <c r="E96" s="1" t="s">
        <v>120</v>
      </c>
      <c r="F96" s="1" t="s">
        <v>239</v>
      </c>
      <c r="H96" t="s">
        <v>209</v>
      </c>
      <c r="I96" t="str">
        <f t="shared" si="9"/>
        <v>&lt;option value='Zona Vial 7 Esta. V.P.'&gt;Zona Vial 7 Esta. V.P.&lt;/option&gt;</v>
      </c>
      <c r="J96" t="str">
        <f t="shared" si="10"/>
        <v>&lt;option value='Zona Vial 1'&gt;Zona Vial 1&lt;/option&gt;
&lt;option value='Zona Vial 2'&gt;Zona Vial 2&lt;/option&gt;
&lt;option value='Zona Vial 3'&gt;Zona Vial 3&lt;/option&gt;
&lt;option value='Zona Vial 4'&gt;Zona Vial 4&lt;/option&gt;
&lt;option value='Zona Vial 5'&gt;Zona Vial 5&lt;/option&gt;
&lt;option value='Zona Vial 6 Disp. Mov.'&gt;Zona Vial 6 Disp. Mov.&lt;/option&gt;
&lt;option value='Zona Vial 7 Esta. V.P.'&gt;Zona Vial 7 Esta. V.P.&lt;/option&gt;</v>
      </c>
    </row>
    <row r="97" spans="1:10" x14ac:dyDescent="0.25">
      <c r="A97">
        <v>80</v>
      </c>
      <c r="B97" s="5" t="s">
        <v>124</v>
      </c>
      <c r="D97" s="1">
        <v>4638</v>
      </c>
      <c r="E97" s="1" t="s">
        <v>121</v>
      </c>
      <c r="F97" s="1" t="s">
        <v>240</v>
      </c>
      <c r="H97" t="s">
        <v>215</v>
      </c>
      <c r="I97" t="str">
        <f t="shared" si="9"/>
        <v>&lt;option value='Zona Vial 8 Parquimetros e Inmov.'&gt;Zona Vial 8 Parquimetros e Inmov.&lt;/option&gt;</v>
      </c>
      <c r="J97" t="str">
        <f t="shared" si="10"/>
        <v>&lt;option value='Zona Vial 1'&gt;Zona Vial 1&lt;/option&gt;
&lt;option value='Zona Vial 2'&gt;Zona Vial 2&lt;/option&gt;
&lt;option value='Zona Vial 3'&gt;Zona Vial 3&lt;/option&gt;
&lt;option value='Zona Vial 4'&gt;Zona Vial 4&lt;/option&gt;
&lt;option value='Zona Vial 5'&gt;Zona Vial 5&lt;/option&gt;
&lt;option value='Zona Vial 6 Disp. Mov.'&gt;Zona Vial 6 Disp. Mov.&lt;/option&gt;
&lt;option value='Zona Vial 7 Esta. V.P.'&gt;Zona Vial 7 Esta. V.P.&lt;/option&gt;
&lt;option value='Zona Vial 8 Parquimetros e Inmov.'&gt;Zona Vial 8 Parquimetros e Inmov.&lt;/option&gt;</v>
      </c>
    </row>
    <row r="98" spans="1:10" x14ac:dyDescent="0.25">
      <c r="J98" t="s">
        <v>285</v>
      </c>
    </row>
  </sheetData>
  <autoFilter ref="A1:J1">
    <sortState ref="A2:J91">
      <sortCondition ref="E1"/>
    </sortState>
  </autoFilter>
  <phoneticPr fontId="2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</dc:creator>
  <cp:lastModifiedBy>usuario</cp:lastModifiedBy>
  <dcterms:created xsi:type="dcterms:W3CDTF">2025-10-05T12:37:43Z</dcterms:created>
  <dcterms:modified xsi:type="dcterms:W3CDTF">2025-10-06T22:46:59Z</dcterms:modified>
</cp:coreProperties>
</file>